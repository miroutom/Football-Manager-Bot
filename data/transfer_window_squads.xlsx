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кно" sheetId="1" state="visible" r:id="rId1"/>
    <sheet xmlns:r="http://schemas.openxmlformats.org/officeDocument/2006/relationships" name="_orig" sheetId="2" state="hidden" r:id="rId2"/>
  </sheets>
  <definedNames>
    <definedName name="_xlnm.Print_Area" localSheetId="0">'Окно'!$A$1:$AN$165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9"/>
    </font>
    <font>
      <b val="1"/>
      <sz val="10"/>
    </font>
    <font>
      <b val="1"/>
      <color rgb="00444444"/>
      <sz val="8"/>
    </font>
    <font>
      <sz val="8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horizontal="left" vertical="center"/>
    </xf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.5" customWidth="1" min="2" max="2"/>
    <col width="5" customWidth="1" min="3" max="3"/>
    <col width="1.2" customWidth="1" min="4" max="4"/>
    <col width="1.2" customWidth="1" min="5" max="5"/>
    <col width="14" customWidth="1" min="6" max="6"/>
    <col width="4.5" customWidth="1" min="7" max="7"/>
    <col width="5" customWidth="1" min="8" max="8"/>
    <col width="1.2" customWidth="1" min="9" max="9"/>
    <col width="1.2" customWidth="1" min="10" max="10"/>
    <col width="14" customWidth="1" min="11" max="11"/>
    <col width="4.5" customWidth="1" min="12" max="12"/>
    <col width="5" customWidth="1" min="13" max="13"/>
    <col width="1.2" customWidth="1" min="14" max="14"/>
    <col width="1.2" customWidth="1" min="15" max="15"/>
    <col width="14" customWidth="1" min="16" max="16"/>
    <col width="4.5" customWidth="1" min="17" max="17"/>
    <col width="5" customWidth="1" min="18" max="18"/>
    <col width="1.2" customWidth="1" min="19" max="19"/>
    <col width="1.2" customWidth="1" min="20" max="20"/>
    <col width="14" customWidth="1" min="21" max="21"/>
    <col width="4.5" customWidth="1" min="22" max="22"/>
    <col width="5" customWidth="1" min="23" max="23"/>
    <col width="1.2" customWidth="1" min="24" max="24"/>
    <col width="1.2" customWidth="1" min="25" max="25"/>
    <col width="14" customWidth="1" min="26" max="26"/>
    <col width="4.5" customWidth="1" min="27" max="27"/>
    <col width="5" customWidth="1" min="28" max="28"/>
    <col width="1.2" customWidth="1" min="29" max="29"/>
    <col width="1.2" customWidth="1" min="30" max="30"/>
    <col width="14" customWidth="1" min="31" max="31"/>
    <col width="4.5" customWidth="1" min="32" max="32"/>
    <col width="5" customWidth="1" min="33" max="33"/>
    <col width="1.2" customWidth="1" min="34" max="34"/>
    <col width="1.2" customWidth="1" min="35" max="35"/>
    <col width="14" customWidth="1" min="36" max="36"/>
    <col width="4.5" customWidth="1" min="37" max="37"/>
    <col width="5" customWidth="1" min="38" max="38"/>
    <col width="1.2" customWidth="1" min="39" max="39"/>
    <col width="1.2" customWidth="1" min="40" max="40"/>
  </cols>
  <sheetData>
    <row r="1" ht="12" customHeight="1">
      <c r="A1" s="1" t="inlineStr">
        <is>
          <t>Перетаскивайте строки игроков между клубами. Зелёный = новый в клубе (IN). Счётчики IN/OUT — до 5.</t>
        </is>
      </c>
    </row>
    <row r="2" ht="12" customHeight="1"/>
    <row r="3" ht="12" customHeight="1">
      <c r="A3" s="2">
        <f>"Цска "&amp;MIN(5,SUMPRODUCT((LEN(A$5:A$33)&gt;0)*(ISERROR(MATCH(A$5:A$33,_orig!$A$2:$A$27,0)))))&amp;"/5 IN "&amp;MIN(5,SUMPRODUCT((LEN(_orig!$A$2:$A$27)&gt;0)*(ISERROR(MATCH(_orig!$A$2:$A$27,A$5:A$33,0)))))&amp;"/5 OUT"</f>
        <v/>
      </c>
      <c r="F3" s="2">
        <f>"Зенит "&amp;MIN(5,SUMPRODUCT((LEN(F$5:F$33)&gt;0)*(ISERROR(MATCH(F$5:F$33,_orig!$B$2:$B$25,0)))))&amp;"/5 IN "&amp;MIN(5,SUMPRODUCT((LEN(_orig!$B$2:$B$25)&gt;0)*(ISERROR(MATCH(_orig!$B$2:$B$25,F$5:F$33,0)))))&amp;"/5 OUT"</f>
        <v/>
      </c>
      <c r="K3" s="2">
        <f>"Краснодар "&amp;MIN(5,SUMPRODUCT((LEN(K$5:K$33)&gt;0)*(ISERROR(MATCH(K$5:K$33,_orig!$C$2:$C$26,0)))))&amp;"/5 IN "&amp;MIN(5,SUMPRODUCT((LEN(_orig!$C$2:$C$26)&gt;0)*(ISERROR(MATCH(_orig!$C$2:$C$26,K$5:K$33,0)))))&amp;"/5 OUT"</f>
        <v/>
      </c>
      <c r="P3" s="2">
        <f>"Локомотив "&amp;MIN(5,SUMPRODUCT((LEN(P$5:P$33)&gt;0)*(ISERROR(MATCH(P$5:P$33,_orig!$D$2:$D$26,0)))))&amp;"/5 IN "&amp;MIN(5,SUMPRODUCT((LEN(_orig!$D$2:$D$26)&gt;0)*(ISERROR(MATCH(_orig!$D$2:$D$26,P$5:P$33,0)))))&amp;"/5 OUT"</f>
        <v/>
      </c>
      <c r="U3" s="2">
        <f>"Спартак "&amp;MIN(5,SUMPRODUCT((LEN(U$5:U$33)&gt;0)*(ISERROR(MATCH(U$5:U$33,_orig!$E$2:$E$25,0)))))&amp;"/5 IN "&amp;MIN(5,SUMPRODUCT((LEN(_orig!$E$2:$E$25)&gt;0)*(ISERROR(MATCH(_orig!$E$2:$E$25,U$5:U$33,0)))))&amp;"/5 OUT"</f>
        <v/>
      </c>
      <c r="Z3" s="2">
        <f>"Динамо "&amp;MIN(5,SUMPRODUCT((LEN(Z$5:Z$33)&gt;0)*(ISERROR(MATCH(Z$5:Z$33,_orig!$F$2:$F$27,0)))))&amp;"/5 IN "&amp;MIN(5,SUMPRODUCT((LEN(_orig!$F$2:$F$27)&gt;0)*(ISERROR(MATCH(_orig!$F$2:$F$27,Z$5:Z$33,0)))))&amp;"/5 OUT"</f>
        <v/>
      </c>
      <c r="AE3" s="2">
        <f>"Крылья Советов "&amp;MIN(5,SUMPRODUCT((LEN(AE$5:AE$33)&gt;0)*(ISERROR(MATCH(AE$5:AE$33,_orig!$G$2:$G$26,0)))))&amp;"/5 IN "&amp;MIN(5,SUMPRODUCT((LEN(_orig!$G$2:$G$26)&gt;0)*(ISERROR(MATCH(_orig!$G$2:$G$26,AE$5:AE$33,0)))))&amp;"/5 OUT"</f>
        <v/>
      </c>
      <c r="AJ3" s="2">
        <f>"Урал "&amp;MIN(5,SUMPRODUCT((LEN(AJ$5:AJ$33)&gt;0)*(ISERROR(MATCH(AJ$5:AJ$33,_orig!$H$2:$H$26,0)))))&amp;"/5 IN "&amp;MIN(5,SUMPRODUCT((LEN(_orig!$H$2:$H$26)&gt;0)*(ISERROR(MATCH(_orig!$H$2:$H$26,AJ$5:AJ$33,0)))))&amp;"/5 OUT"</f>
        <v/>
      </c>
    </row>
    <row r="4" ht="12" customHeight="1">
      <c r="B4" s="3" t="inlineStr">
        <is>
          <t>старт</t>
        </is>
      </c>
      <c r="G4" s="3" t="inlineStr">
        <is>
          <t>старт</t>
        </is>
      </c>
      <c r="L4" s="3" t="inlineStr">
        <is>
          <t>старт</t>
        </is>
      </c>
      <c r="Q4" s="3" t="inlineStr">
        <is>
          <t>старт</t>
        </is>
      </c>
      <c r="V4" s="3" t="inlineStr">
        <is>
          <t>старт</t>
        </is>
      </c>
      <c r="AA4" s="3" t="inlineStr">
        <is>
          <t>старт</t>
        </is>
      </c>
      <c r="AF4" s="3" t="inlineStr">
        <is>
          <t>старт</t>
        </is>
      </c>
      <c r="AK4" s="3" t="inlineStr">
        <is>
          <t>старт</t>
        </is>
      </c>
    </row>
    <row r="5" ht="12" customHeight="1">
      <c r="A5" s="4" t="inlineStr">
        <is>
          <t>Балогун</t>
        </is>
      </c>
      <c r="B5" s="4" t="inlineStr">
        <is>
          <t>ФРВ</t>
        </is>
      </c>
      <c r="C5" s="4" t="n">
        <v>79</v>
      </c>
      <c r="F5" s="4" t="inlineStr">
        <is>
          <t>Давид</t>
        </is>
      </c>
      <c r="G5" s="4" t="inlineStr">
        <is>
          <t>ФРВ</t>
        </is>
      </c>
      <c r="H5" s="4" t="n">
        <v>83</v>
      </c>
      <c r="K5" s="4" t="inlineStr">
        <is>
          <t>Буанга</t>
        </is>
      </c>
      <c r="L5" s="4" t="inlineStr">
        <is>
          <t>ЛФА</t>
        </is>
      </c>
      <c r="M5" s="4" t="n">
        <v>80</v>
      </c>
      <c r="P5" s="4" t="inlineStr">
        <is>
          <t>Бардакджы</t>
        </is>
      </c>
      <c r="Q5" s="4" t="inlineStr">
        <is>
          <t>ЦЗ</t>
        </is>
      </c>
      <c r="R5" s="4" t="n">
        <v>80</v>
      </c>
      <c r="U5" s="4" t="inlineStr">
        <is>
          <t>Орта</t>
        </is>
      </c>
      <c r="V5" s="4" t="inlineStr">
        <is>
          <t>ЦАП</t>
        </is>
      </c>
      <c r="W5" s="4" t="n">
        <v>82</v>
      </c>
      <c r="Z5" s="4" t="inlineStr">
        <is>
          <t>Альварез</t>
        </is>
      </c>
      <c r="AA5" s="4" t="inlineStr">
        <is>
          <t>ЦЗ</t>
        </is>
      </c>
      <c r="AB5" s="4" t="n">
        <v>83</v>
      </c>
      <c r="AE5" s="4" t="inlineStr">
        <is>
          <t>Бонджорно</t>
        </is>
      </c>
      <c r="AF5" s="4" t="inlineStr">
        <is>
          <t>ЦЗ</t>
        </is>
      </c>
      <c r="AG5" s="4" t="n">
        <v>78</v>
      </c>
      <c r="AJ5" s="4" t="inlineStr">
        <is>
          <t>Гудмундсон</t>
        </is>
      </c>
      <c r="AK5" s="4" t="inlineStr">
        <is>
          <t>ЦАП</t>
        </is>
      </c>
      <c r="AL5" s="4" t="n">
        <v>78</v>
      </c>
    </row>
    <row r="6" ht="12" customHeight="1">
      <c r="A6" s="4" t="inlineStr">
        <is>
          <t>Гроб</t>
        </is>
      </c>
      <c r="B6" s="4" t="inlineStr">
        <is>
          <t>ЦП</t>
        </is>
      </c>
      <c r="C6" s="4" t="n">
        <v>79</v>
      </c>
      <c r="F6" s="4" t="inlineStr">
        <is>
          <t>Кержаков</t>
        </is>
      </c>
      <c r="G6" s="4" t="inlineStr">
        <is>
          <t>ВРТ</t>
        </is>
      </c>
      <c r="H6" s="4" t="n">
        <v>82</v>
      </c>
      <c r="K6" s="4" t="inlineStr">
        <is>
          <t>Верету</t>
        </is>
      </c>
      <c r="L6" s="4" t="inlineStr">
        <is>
          <t>ЦП</t>
        </is>
      </c>
      <c r="M6" s="4" t="n">
        <v>80</v>
      </c>
      <c r="P6" s="4" t="inlineStr">
        <is>
          <t>Гедеш</t>
        </is>
      </c>
      <c r="Q6" s="4" t="inlineStr">
        <is>
          <t>ФРВ</t>
        </is>
      </c>
      <c r="R6" s="4" t="n">
        <v>79</v>
      </c>
      <c r="U6" s="4" t="inlineStr">
        <is>
          <t>Данк</t>
        </is>
      </c>
      <c r="V6" s="4" t="inlineStr">
        <is>
          <t>ЦЗ</t>
        </is>
      </c>
      <c r="W6" s="4" t="n">
        <v>81</v>
      </c>
      <c r="Z6" s="4" t="inlineStr">
        <is>
          <t>Карраскаль</t>
        </is>
      </c>
      <c r="AA6" s="4" t="inlineStr">
        <is>
          <t>ЦАП</t>
        </is>
      </c>
      <c r="AB6" s="4" t="n">
        <v>81</v>
      </c>
      <c r="AE6" s="4" t="inlineStr">
        <is>
          <t>Ито</t>
        </is>
      </c>
      <c r="AF6" s="4" t="inlineStr">
        <is>
          <t>ЛЗ</t>
        </is>
      </c>
      <c r="AG6" s="4" t="n">
        <v>78</v>
      </c>
      <c r="AJ6" s="4" t="inlineStr">
        <is>
          <t>Лафонт</t>
        </is>
      </c>
      <c r="AK6" s="4" t="inlineStr">
        <is>
          <t>ВРТ</t>
        </is>
      </c>
      <c r="AL6" s="4" t="n">
        <v>78</v>
      </c>
    </row>
    <row r="7" ht="12" customHeight="1">
      <c r="A7" s="4" t="inlineStr">
        <is>
          <t>Вебстер</t>
        </is>
      </c>
      <c r="B7" s="4" t="inlineStr">
        <is>
          <t>ЦЗ</t>
        </is>
      </c>
      <c r="C7" s="4" t="n">
        <v>78</v>
      </c>
      <c r="F7" s="4" t="inlineStr">
        <is>
          <t>Трехо</t>
        </is>
      </c>
      <c r="G7" s="4" t="inlineStr">
        <is>
          <t>ЦП</t>
        </is>
      </c>
      <c r="H7" s="4" t="n">
        <v>82</v>
      </c>
      <c r="K7" s="4" t="inlineStr">
        <is>
          <t>Лопез</t>
        </is>
      </c>
      <c r="L7" s="4" t="inlineStr">
        <is>
          <t>ВРТ</t>
        </is>
      </c>
      <c r="M7" s="4" t="n">
        <v>80</v>
      </c>
      <c r="P7" s="4" t="inlineStr">
        <is>
          <t>Муссо</t>
        </is>
      </c>
      <c r="Q7" s="4" t="inlineStr">
        <is>
          <t>ВРТ</t>
        </is>
      </c>
      <c r="R7" s="4" t="n">
        <v>79</v>
      </c>
      <c r="U7" s="4" t="inlineStr">
        <is>
          <t>Далот</t>
        </is>
      </c>
      <c r="V7" s="4" t="inlineStr">
        <is>
          <t>ЦП</t>
        </is>
      </c>
      <c r="W7" s="4" t="n">
        <v>80</v>
      </c>
      <c r="Z7" s="4" t="inlineStr">
        <is>
          <t>Хенри</t>
        </is>
      </c>
      <c r="AA7" s="4" t="inlineStr">
        <is>
          <t>ЛЗ</t>
        </is>
      </c>
      <c r="AB7" s="4" t="n">
        <v>80</v>
      </c>
      <c r="AE7" s="4" t="inlineStr">
        <is>
          <t>Фергюсон</t>
        </is>
      </c>
      <c r="AF7" s="4" t="inlineStr">
        <is>
          <t>ЦАП</t>
        </is>
      </c>
      <c r="AG7" s="4" t="n">
        <v>78</v>
      </c>
      <c r="AJ7" s="4" t="inlineStr">
        <is>
          <t>Ольсен</t>
        </is>
      </c>
      <c r="AK7" s="4" t="inlineStr">
        <is>
          <t>ЛФА</t>
        </is>
      </c>
      <c r="AL7" s="4" t="n">
        <v>78</v>
      </c>
    </row>
    <row r="8" ht="12" customHeight="1">
      <c r="A8" s="4" t="inlineStr">
        <is>
          <t>Симеоне</t>
        </is>
      </c>
      <c r="B8" s="4" t="inlineStr">
        <is>
          <t>ФРВ</t>
        </is>
      </c>
      <c r="C8" s="4" t="n">
        <v>78</v>
      </c>
      <c r="F8" s="4" t="inlineStr">
        <is>
          <t>Заха</t>
        </is>
      </c>
      <c r="G8" s="4" t="inlineStr">
        <is>
          <t>ЛФА</t>
        </is>
      </c>
      <c r="H8" s="4" t="n">
        <v>81</v>
      </c>
      <c r="K8" s="4" t="inlineStr">
        <is>
          <t>Клюверт</t>
        </is>
      </c>
      <c r="L8" s="4" t="inlineStr">
        <is>
          <t>ЦАП</t>
        </is>
      </c>
      <c r="M8" s="4" t="n">
        <v>79</v>
      </c>
      <c r="P8" s="4" t="inlineStr">
        <is>
          <t>Франковски</t>
        </is>
      </c>
      <c r="Q8" s="4" t="inlineStr">
        <is>
          <t>ПЗ</t>
        </is>
      </c>
      <c r="R8" s="4" t="n">
        <v>79</v>
      </c>
      <c r="U8" s="4" t="inlineStr">
        <is>
          <t>Мухтар</t>
        </is>
      </c>
      <c r="V8" s="4" t="inlineStr">
        <is>
          <t>ФРВ</t>
        </is>
      </c>
      <c r="W8" s="4" t="n">
        <v>80</v>
      </c>
      <c r="Z8" s="4" t="inlineStr">
        <is>
          <t>Шешко</t>
        </is>
      </c>
      <c r="AA8" s="4" t="inlineStr">
        <is>
          <t>ФРВ</t>
        </is>
      </c>
      <c r="AB8" s="4" t="n">
        <v>80</v>
      </c>
      <c r="AE8" s="4" t="inlineStr">
        <is>
          <t>Какерет</t>
        </is>
      </c>
      <c r="AF8" s="4" t="inlineStr">
        <is>
          <t>ЦП</t>
        </is>
      </c>
      <c r="AG8" s="4" t="n">
        <v>77</v>
      </c>
      <c r="AJ8" s="4" t="inlineStr">
        <is>
          <t>Каштанов</t>
        </is>
      </c>
      <c r="AK8" s="4" t="inlineStr">
        <is>
          <t>ФРВ</t>
        </is>
      </c>
      <c r="AL8" s="4" t="n">
        <v>77</v>
      </c>
    </row>
    <row r="9" ht="12" customHeight="1">
      <c r="A9" s="4" t="inlineStr">
        <is>
          <t>Спортиелло</t>
        </is>
      </c>
      <c r="B9" s="4" t="inlineStr">
        <is>
          <t>ВРТ</t>
        </is>
      </c>
      <c r="C9" s="4" t="n">
        <v>78</v>
      </c>
      <c r="F9" s="4" t="inlineStr">
        <is>
          <t>Фомин</t>
        </is>
      </c>
      <c r="G9" s="4" t="inlineStr">
        <is>
          <t>ЦАП</t>
        </is>
      </c>
      <c r="H9" s="4" t="n">
        <v>81</v>
      </c>
      <c r="K9" s="4" t="inlineStr">
        <is>
          <t>Умтити</t>
        </is>
      </c>
      <c r="L9" s="4" t="inlineStr">
        <is>
          <t>ЦЗ</t>
        </is>
      </c>
      <c r="M9" s="4" t="n">
        <v>79</v>
      </c>
      <c r="P9" s="4" t="inlineStr">
        <is>
          <t>Виффер</t>
        </is>
      </c>
      <c r="Q9" s="4" t="inlineStr">
        <is>
          <t>ЦП</t>
        </is>
      </c>
      <c r="R9" s="4" t="n">
        <v>78</v>
      </c>
      <c r="U9" s="4" t="inlineStr">
        <is>
          <t>Пепе</t>
        </is>
      </c>
      <c r="V9" s="4" t="inlineStr">
        <is>
          <t>ФРВ</t>
        </is>
      </c>
      <c r="W9" s="4" t="n">
        <v>80</v>
      </c>
      <c r="Z9" s="4" t="inlineStr">
        <is>
          <t>Альваро Гарсия</t>
        </is>
      </c>
      <c r="AA9" s="4" t="inlineStr">
        <is>
          <t>ЛФА</t>
        </is>
      </c>
      <c r="AB9" s="4" t="n">
        <v>79</v>
      </c>
      <c r="AE9" s="4" t="inlineStr">
        <is>
          <t>Ниакате</t>
        </is>
      </c>
      <c r="AF9" s="4" t="inlineStr">
        <is>
          <t>ЦЗ</t>
        </is>
      </c>
      <c r="AG9" s="4" t="n">
        <v>77</v>
      </c>
      <c r="AJ9" s="4" t="inlineStr">
        <is>
          <t>Егорычев</t>
        </is>
      </c>
      <c r="AK9" s="4" t="inlineStr">
        <is>
          <t>ЦП</t>
        </is>
      </c>
      <c r="AL9" s="4" t="n">
        <v>76</v>
      </c>
    </row>
    <row r="10" ht="12" customHeight="1">
      <c r="A10" s="4" t="inlineStr">
        <is>
          <t>Мойзес</t>
        </is>
      </c>
      <c r="B10" s="4" t="inlineStr">
        <is>
          <t>ЛЗ</t>
        </is>
      </c>
      <c r="C10" s="4" t="n">
        <v>77</v>
      </c>
      <c r="F10" s="4" t="inlineStr">
        <is>
          <t>Алип</t>
        </is>
      </c>
      <c r="G10" s="4" t="inlineStr">
        <is>
          <t>ЦЗ</t>
        </is>
      </c>
      <c r="H10" s="4" t="n">
        <v>80</v>
      </c>
      <c r="K10" s="4" t="inlineStr">
        <is>
          <t>Диоманде</t>
        </is>
      </c>
      <c r="L10" s="4" t="inlineStr">
        <is>
          <t>ЦЗ</t>
        </is>
      </c>
      <c r="M10" s="4" t="n">
        <v>78</v>
      </c>
      <c r="P10" s="4" t="inlineStr">
        <is>
          <t>Миранчук</t>
        </is>
      </c>
      <c r="Q10" s="4" t="inlineStr">
        <is>
          <t>ЦАП</t>
        </is>
      </c>
      <c r="R10" s="4" t="n">
        <v>78</v>
      </c>
      <c r="U10" s="4" t="inlineStr">
        <is>
          <t>Маркао</t>
        </is>
      </c>
      <c r="V10" s="4" t="inlineStr">
        <is>
          <t>ЦЗ</t>
        </is>
      </c>
      <c r="W10" s="4" t="n">
        <v>78</v>
      </c>
      <c r="Z10" s="4" t="inlineStr">
        <is>
          <t>Мауро</t>
        </is>
      </c>
      <c r="AA10" s="4" t="inlineStr">
        <is>
          <t>ПЗ</t>
        </is>
      </c>
      <c r="AB10" s="4" t="n">
        <v>79</v>
      </c>
      <c r="AE10" s="4" t="inlineStr">
        <is>
          <t>Рахманович</t>
        </is>
      </c>
      <c r="AF10" s="4" t="inlineStr">
        <is>
          <t>ЦП</t>
        </is>
      </c>
      <c r="AG10" s="4" t="n">
        <v>77</v>
      </c>
      <c r="AJ10" s="4" t="inlineStr">
        <is>
          <t>Бевеев</t>
        </is>
      </c>
      <c r="AK10" s="4" t="inlineStr">
        <is>
          <t>ПЗ</t>
        </is>
      </c>
      <c r="AL10" s="4" t="n">
        <v>75</v>
      </c>
    </row>
    <row r="11" ht="12" customHeight="1">
      <c r="A11" s="4" t="inlineStr">
        <is>
          <t>Тиллман</t>
        </is>
      </c>
      <c r="B11" s="4" t="inlineStr">
        <is>
          <t>ЦАП</t>
        </is>
      </c>
      <c r="C11" s="4" t="n">
        <v>77</v>
      </c>
      <c r="F11" s="4" t="inlineStr">
        <is>
          <t>Шутало</t>
        </is>
      </c>
      <c r="G11" s="4" t="inlineStr">
        <is>
          <t>ЦЗ</t>
        </is>
      </c>
      <c r="H11" s="4" t="n">
        <v>80</v>
      </c>
      <c r="K11" s="4" t="inlineStr">
        <is>
          <t>Жедсон</t>
        </is>
      </c>
      <c r="L11" s="4" t="inlineStr">
        <is>
          <t>ЦП</t>
        </is>
      </c>
      <c r="M11" s="4" t="n">
        <v>78</v>
      </c>
      <c r="P11" s="4" t="inlineStr">
        <is>
          <t>Кастильехо</t>
        </is>
      </c>
      <c r="Q11" s="4" t="inlineStr">
        <is>
          <t>ПФА</t>
        </is>
      </c>
      <c r="R11" s="4" t="n">
        <v>77</v>
      </c>
      <c r="U11" s="4" t="inlineStr">
        <is>
          <t>Маффео</t>
        </is>
      </c>
      <c r="V11" s="4" t="inlineStr">
        <is>
          <t>ПЗ</t>
        </is>
      </c>
      <c r="W11" s="4" t="n">
        <v>78</v>
      </c>
      <c r="Z11" s="4" t="inlineStr">
        <is>
          <t>Трубин</t>
        </is>
      </c>
      <c r="AA11" s="4" t="inlineStr">
        <is>
          <t>ВРТ</t>
        </is>
      </c>
      <c r="AB11" s="4" t="n">
        <v>79</v>
      </c>
      <c r="AE11" s="4" t="inlineStr">
        <is>
          <t>Гарре</t>
        </is>
      </c>
      <c r="AF11" s="4" t="inlineStr">
        <is>
          <t>ПФА</t>
        </is>
      </c>
      <c r="AG11" s="4" t="n">
        <v>76</v>
      </c>
      <c r="AJ11" s="4" t="inlineStr">
        <is>
          <t>Бегич</t>
        </is>
      </c>
      <c r="AK11" s="4" t="inlineStr">
        <is>
          <t>ЦЗ</t>
        </is>
      </c>
      <c r="AL11" s="4" t="n">
        <v>75</v>
      </c>
    </row>
    <row r="12" ht="12" customHeight="1">
      <c r="A12" s="4" t="inlineStr">
        <is>
          <t>Сако</t>
        </is>
      </c>
      <c r="B12" s="4" t="inlineStr">
        <is>
          <t>ПЗ</t>
        </is>
      </c>
      <c r="C12" s="4" t="n">
        <v>75</v>
      </c>
      <c r="F12" s="4" t="inlineStr">
        <is>
          <t>Абдулхамид</t>
        </is>
      </c>
      <c r="G12" s="4" t="inlineStr">
        <is>
          <t>ПЗ</t>
        </is>
      </c>
      <c r="H12" s="4" t="n">
        <v>78</v>
      </c>
      <c r="K12" s="4" t="inlineStr">
        <is>
          <t>Макс</t>
        </is>
      </c>
      <c r="L12" s="4" t="inlineStr">
        <is>
          <t>ЛЗ</t>
        </is>
      </c>
      <c r="M12" s="4" t="n">
        <v>78</v>
      </c>
      <c r="P12" s="4" t="inlineStr">
        <is>
          <t>Локо</t>
        </is>
      </c>
      <c r="Q12" s="4" t="inlineStr">
        <is>
          <t>ЛЗ</t>
        </is>
      </c>
      <c r="R12" s="4" t="n">
        <v>77</v>
      </c>
      <c r="U12" s="4" t="inlineStr">
        <is>
          <t>Зобнин</t>
        </is>
      </c>
      <c r="V12" s="4" t="inlineStr">
        <is>
          <t>ЦП</t>
        </is>
      </c>
      <c r="W12" s="4" t="n">
        <v>77</v>
      </c>
      <c r="Z12" s="4" t="inlineStr">
        <is>
          <t>Чавез</t>
        </is>
      </c>
      <c r="AA12" s="4" t="inlineStr">
        <is>
          <t>ЦП</t>
        </is>
      </c>
      <c r="AB12" s="4" t="n">
        <v>79</v>
      </c>
      <c r="AE12" s="4" t="inlineStr">
        <is>
          <t>Писарский</t>
        </is>
      </c>
      <c r="AF12" s="4" t="inlineStr">
        <is>
          <t>ФРВ</t>
        </is>
      </c>
      <c r="AG12" s="4" t="n">
        <v>76</v>
      </c>
      <c r="AJ12" s="4" t="inlineStr">
        <is>
          <t>Дмитриев</t>
        </is>
      </c>
      <c r="AK12" s="4" t="inlineStr">
        <is>
          <t>ПФА</t>
        </is>
      </c>
      <c r="AL12" s="4" t="n">
        <v>74</v>
      </c>
    </row>
    <row r="13" ht="12" customHeight="1">
      <c r="A13" s="4" t="inlineStr">
        <is>
          <t>Зджелар</t>
        </is>
      </c>
      <c r="B13" s="4" t="inlineStr">
        <is>
          <t>ЦЗ</t>
        </is>
      </c>
      <c r="C13" s="4" t="n">
        <v>73</v>
      </c>
      <c r="F13" s="4" t="inlineStr">
        <is>
          <t>Вильмар Барриос</t>
        </is>
      </c>
      <c r="G13" s="4" t="inlineStr">
        <is>
          <t>ЦП</t>
        </is>
      </c>
      <c r="H13" s="4" t="n">
        <v>78</v>
      </c>
      <c r="K13" s="4" t="inlineStr">
        <is>
          <t>Мата</t>
        </is>
      </c>
      <c r="L13" s="4" t="inlineStr">
        <is>
          <t>ПЗ</t>
        </is>
      </c>
      <c r="M13" s="4" t="n">
        <v>77</v>
      </c>
      <c r="P13" s="4" t="inlineStr">
        <is>
          <t>Теате</t>
        </is>
      </c>
      <c r="Q13" s="4" t="inlineStr">
        <is>
          <t>ЦЗ</t>
        </is>
      </c>
      <c r="R13" s="4" t="n">
        <v>77</v>
      </c>
      <c r="U13" s="4" t="inlineStr">
        <is>
          <t>Игнатов</t>
        </is>
      </c>
      <c r="V13" s="4" t="inlineStr">
        <is>
          <t>ЦП</t>
        </is>
      </c>
      <c r="W13" s="4" t="n">
        <v>75</v>
      </c>
      <c r="Z13" s="4" t="inlineStr">
        <is>
          <t>О'райли</t>
        </is>
      </c>
      <c r="AA13" s="4" t="inlineStr">
        <is>
          <t>ЦП</t>
        </is>
      </c>
      <c r="AB13" s="4" t="n">
        <v>78</v>
      </c>
      <c r="AE13" s="4" t="inlineStr">
        <is>
          <t>Ломаев</t>
        </is>
      </c>
      <c r="AF13" s="4" t="inlineStr">
        <is>
          <t>ВРТ</t>
        </is>
      </c>
      <c r="AG13" s="4" t="n">
        <v>74</v>
      </c>
      <c r="AJ13" s="4" t="inlineStr">
        <is>
          <t>Мишкич</t>
        </is>
      </c>
      <c r="AK13" s="4" t="inlineStr">
        <is>
          <t>ЦП</t>
        </is>
      </c>
      <c r="AL13" s="4" t="n">
        <v>72</v>
      </c>
    </row>
    <row r="14" ht="12" customHeight="1">
      <c r="A14" s="4" t="inlineStr">
        <is>
          <t>Мендес</t>
        </is>
      </c>
      <c r="B14" s="4" t="inlineStr">
        <is>
          <t>ЦП</t>
        </is>
      </c>
      <c r="C14" s="4" t="n">
        <v>73</v>
      </c>
      <c r="F14" s="4" t="inlineStr">
        <is>
          <t>Труфферт</t>
        </is>
      </c>
      <c r="G14" s="4" t="inlineStr">
        <is>
          <t>ЛЗ</t>
        </is>
      </c>
      <c r="H14" s="4" t="n">
        <v>77</v>
      </c>
      <c r="K14" s="4" t="inlineStr">
        <is>
          <t>Жуниор</t>
        </is>
      </c>
      <c r="L14" s="4" t="inlineStr">
        <is>
          <t>ПФА</t>
        </is>
      </c>
      <c r="M14" s="4" t="n">
        <v>76</v>
      </c>
      <c r="P14" s="4" t="inlineStr">
        <is>
          <t>Баринов</t>
        </is>
      </c>
      <c r="Q14" s="4" t="inlineStr">
        <is>
          <t>ЦП</t>
        </is>
      </c>
      <c r="R14" s="4" t="n">
        <v>75</v>
      </c>
      <c r="U14" s="4" t="inlineStr">
        <is>
          <t>Бабич</t>
        </is>
      </c>
      <c r="V14" s="4" t="inlineStr">
        <is>
          <t>ЛЗ</t>
        </is>
      </c>
      <c r="W14" s="4" t="n">
        <v>72</v>
      </c>
      <c r="Z14" s="4" t="inlineStr">
        <is>
          <t>Ругани</t>
        </is>
      </c>
      <c r="AA14" s="4" t="inlineStr">
        <is>
          <t>ЦЗ</t>
        </is>
      </c>
      <c r="AB14" s="4" t="n">
        <v>77</v>
      </c>
      <c r="AE14" s="4" t="inlineStr">
        <is>
          <t>Костанца</t>
        </is>
      </c>
      <c r="AF14" s="4" t="inlineStr">
        <is>
          <t>ПЗ</t>
        </is>
      </c>
      <c r="AG14" s="4" t="n">
        <v>73</v>
      </c>
      <c r="AJ14" s="4" t="inlineStr">
        <is>
          <t>Кики</t>
        </is>
      </c>
      <c r="AK14" s="4" t="inlineStr">
        <is>
          <t>ЛЗ</t>
        </is>
      </c>
      <c r="AL14" s="4" t="n">
        <v>71</v>
      </c>
    </row>
    <row r="15" ht="12" customHeight="1">
      <c r="A15" s="4" t="inlineStr">
        <is>
          <t>Дивеев</t>
        </is>
      </c>
      <c r="B15" s="4" t="inlineStr">
        <is>
          <t>ЦЗ</t>
        </is>
      </c>
      <c r="C15" s="4" t="n">
        <v>70</v>
      </c>
      <c r="F15" s="4" t="inlineStr">
        <is>
          <t>Нгамалу</t>
        </is>
      </c>
      <c r="G15" s="4" t="inlineStr">
        <is>
          <t>ПФА</t>
        </is>
      </c>
      <c r="H15" s="4" t="n">
        <v>76</v>
      </c>
      <c r="K15" s="4" t="inlineStr">
        <is>
          <t>Кокшаров</t>
        </is>
      </c>
      <c r="L15" s="4" t="inlineStr">
        <is>
          <t>ФРВ</t>
        </is>
      </c>
      <c r="M15" s="4" t="n">
        <v>75</v>
      </c>
      <c r="P15" s="4" t="inlineStr">
        <is>
          <t>Диатта</t>
        </is>
      </c>
      <c r="Q15" s="4" t="inlineStr">
        <is>
          <t>ЛФА</t>
        </is>
      </c>
      <c r="R15" s="4" t="n">
        <v>75</v>
      </c>
      <c r="U15" s="4" t="inlineStr">
        <is>
          <t>Селихов</t>
        </is>
      </c>
      <c r="V15" s="4" t="inlineStr">
        <is>
          <t>ВРТ</t>
        </is>
      </c>
      <c r="W15" s="4" t="n">
        <v>71</v>
      </c>
      <c r="Z15" s="4" t="inlineStr">
        <is>
          <t>Силас</t>
        </is>
      </c>
      <c r="AA15" s="4" t="inlineStr">
        <is>
          <t>ПФА</t>
        </is>
      </c>
      <c r="AB15" s="4" t="n">
        <v>76</v>
      </c>
      <c r="AE15" s="4" t="inlineStr">
        <is>
          <t>Салтыков</t>
        </is>
      </c>
      <c r="AF15" s="4" t="inlineStr">
        <is>
          <t>ЛФА</t>
        </is>
      </c>
      <c r="AG15" s="4" t="n">
        <v>73</v>
      </c>
      <c r="AJ15" s="4" t="inlineStr">
        <is>
          <t>Эмерсон</t>
        </is>
      </c>
      <c r="AK15" s="4" t="inlineStr">
        <is>
          <t>ЦЗ</t>
        </is>
      </c>
      <c r="AL15" s="4" t="n">
        <v>69</v>
      </c>
    </row>
    <row r="16" ht="12" customHeight="1">
      <c r="B16" s="3" t="inlineStr">
        <is>
          <t>запас</t>
        </is>
      </c>
      <c r="G16" s="3" t="inlineStr">
        <is>
          <t>запас</t>
        </is>
      </c>
      <c r="L16" s="3" t="inlineStr">
        <is>
          <t>запас</t>
        </is>
      </c>
      <c r="Q16" s="3" t="inlineStr">
        <is>
          <t>запас</t>
        </is>
      </c>
      <c r="V16" s="3" t="inlineStr">
        <is>
          <t>запас</t>
        </is>
      </c>
      <c r="AA16" s="3" t="inlineStr">
        <is>
          <t>запас</t>
        </is>
      </c>
      <c r="AF16" s="3" t="inlineStr">
        <is>
          <t>запас</t>
        </is>
      </c>
      <c r="AK16" s="3" t="inlineStr">
        <is>
          <t>запас</t>
        </is>
      </c>
    </row>
    <row r="17" ht="12" customHeight="1">
      <c r="A17" s="4" t="inlineStr">
        <is>
          <t>Чилвелл</t>
        </is>
      </c>
      <c r="B17" s="4" t="inlineStr">
        <is>
          <t>ПЗ</t>
        </is>
      </c>
      <c r="C17" s="4" t="n">
        <v>80</v>
      </c>
      <c r="F17" s="4" t="inlineStr">
        <is>
          <t>Бовен</t>
        </is>
      </c>
      <c r="G17" s="4" t="inlineStr">
        <is>
          <t>ПФА</t>
        </is>
      </c>
      <c r="H17" s="4" t="n">
        <v>81</v>
      </c>
      <c r="K17" s="4" t="inlineStr">
        <is>
          <t>Ляказет</t>
        </is>
      </c>
      <c r="L17" s="4" t="inlineStr">
        <is>
          <t>ФРВ</t>
        </is>
      </c>
      <c r="M17" s="4" t="n">
        <v>83</v>
      </c>
      <c r="P17" s="4" t="inlineStr">
        <is>
          <t>Фабиански</t>
        </is>
      </c>
      <c r="Q17" s="4" t="inlineStr">
        <is>
          <t>ВРТ</t>
        </is>
      </c>
      <c r="R17" s="4" t="n">
        <v>79</v>
      </c>
      <c r="U17" s="4" t="inlineStr">
        <is>
          <t>Митома</t>
        </is>
      </c>
      <c r="V17" s="4" t="inlineStr">
        <is>
          <t>ЛФА</t>
        </is>
      </c>
      <c r="W17" s="4" t="n">
        <v>82</v>
      </c>
      <c r="Z17" s="4" t="inlineStr">
        <is>
          <t>Сангаре</t>
        </is>
      </c>
      <c r="AA17" s="4" t="inlineStr">
        <is>
          <t>ЦОП</t>
        </is>
      </c>
      <c r="AB17" s="4" t="n">
        <v>81</v>
      </c>
      <c r="AE17" s="4" t="inlineStr">
        <is>
          <t>Тарковски</t>
        </is>
      </c>
      <c r="AF17" s="4" t="inlineStr">
        <is>
          <t>ЦЗ</t>
        </is>
      </c>
      <c r="AG17" s="4" t="n">
        <v>79</v>
      </c>
      <c r="AJ17" s="4" t="inlineStr">
        <is>
          <t>Саванье</t>
        </is>
      </c>
      <c r="AK17" s="4" t="inlineStr">
        <is>
          <t>ЦАП</t>
        </is>
      </c>
      <c r="AL17" s="4" t="n">
        <v>80</v>
      </c>
    </row>
    <row r="18" ht="12" customHeight="1">
      <c r="A18" s="4" t="inlineStr">
        <is>
          <t>Манданда</t>
        </is>
      </c>
      <c r="B18" s="4" t="inlineStr">
        <is>
          <t>ВРТ</t>
        </is>
      </c>
      <c r="C18" s="4" t="n">
        <v>79</v>
      </c>
      <c r="F18" s="4" t="inlineStr">
        <is>
          <t>Сельс</t>
        </is>
      </c>
      <c r="G18" s="4" t="inlineStr">
        <is>
          <t>ВРТ</t>
        </is>
      </c>
      <c r="H18" s="4" t="n">
        <v>79</v>
      </c>
      <c r="K18" s="4" t="inlineStr">
        <is>
          <t>Теума</t>
        </is>
      </c>
      <c r="L18" s="4" t="inlineStr">
        <is>
          <t>ЦП</t>
        </is>
      </c>
      <c r="M18" s="4" t="n">
        <v>79</v>
      </c>
      <c r="P18" s="4" t="inlineStr">
        <is>
          <t>Чалов</t>
        </is>
      </c>
      <c r="Q18" s="4" t="inlineStr">
        <is>
          <t>ФРВ</t>
        </is>
      </c>
      <c r="R18" s="4" t="n">
        <v>78</v>
      </c>
      <c r="U18" s="4" t="inlineStr">
        <is>
          <t>Бето</t>
        </is>
      </c>
      <c r="V18" s="4" t="inlineStr">
        <is>
          <t>ФРВ</t>
        </is>
      </c>
      <c r="W18" s="4" t="n">
        <v>81</v>
      </c>
      <c r="Z18" s="4" t="inlineStr">
        <is>
          <t>Антонио</t>
        </is>
      </c>
      <c r="AA18" s="4" t="inlineStr">
        <is>
          <t>ФРВ</t>
        </is>
      </c>
      <c r="AB18" s="4" t="n">
        <v>78</v>
      </c>
      <c r="AE18" s="4" t="inlineStr">
        <is>
          <t>Гуаита</t>
        </is>
      </c>
      <c r="AF18" s="4" t="inlineStr">
        <is>
          <t>ВРТ</t>
        </is>
      </c>
      <c r="AG18" s="4" t="n">
        <v>78</v>
      </c>
      <c r="AJ18" s="4" t="inlineStr">
        <is>
          <t>Ареола</t>
        </is>
      </c>
      <c r="AK18" s="4" t="inlineStr">
        <is>
          <t>ВРТ</t>
        </is>
      </c>
      <c r="AL18" s="4" t="n">
        <v>78</v>
      </c>
    </row>
    <row r="19" ht="12" customHeight="1">
      <c r="A19" s="4" t="inlineStr">
        <is>
          <t>Заболотный</t>
        </is>
      </c>
      <c r="B19" s="4" t="inlineStr">
        <is>
          <t>ФРВ</t>
        </is>
      </c>
      <c r="C19" s="4" t="n">
        <v>76</v>
      </c>
      <c r="F19" s="4" t="inlineStr">
        <is>
          <t>Павар</t>
        </is>
      </c>
      <c r="G19" s="4" t="inlineStr">
        <is>
          <t>ЦЗ</t>
        </is>
      </c>
      <c r="H19" s="4" t="n">
        <v>78</v>
      </c>
      <c r="K19" s="4" t="inlineStr">
        <is>
          <t>Салах</t>
        </is>
      </c>
      <c r="L19" s="4" t="inlineStr">
        <is>
          <t>ПФА</t>
        </is>
      </c>
      <c r="M19" s="4" t="n">
        <v>78</v>
      </c>
      <c r="P19" s="4" t="inlineStr">
        <is>
          <t>Одриозола</t>
        </is>
      </c>
      <c r="Q19" s="4" t="inlineStr">
        <is>
          <t>ПЗ</t>
        </is>
      </c>
      <c r="R19" s="4" t="n">
        <v>76</v>
      </c>
      <c r="U19" s="4" t="inlineStr">
        <is>
          <t>Ми</t>
        </is>
      </c>
      <c r="V19" s="4" t="inlineStr">
        <is>
          <t>ЦЗ</t>
        </is>
      </c>
      <c r="W19" s="4" t="n">
        <v>79</v>
      </c>
      <c r="Z19" s="4" t="inlineStr">
        <is>
          <t>Ле Фе</t>
        </is>
      </c>
      <c r="AA19" s="4" t="inlineStr">
        <is>
          <t>ЦП</t>
        </is>
      </c>
      <c r="AB19" s="4" t="n">
        <v>77</v>
      </c>
      <c r="AE19" s="4" t="inlineStr">
        <is>
          <t>Дауд</t>
        </is>
      </c>
      <c r="AF19" s="4" t="inlineStr">
        <is>
          <t>ЦП</t>
        </is>
      </c>
      <c r="AG19" s="4" t="n">
        <v>78</v>
      </c>
      <c r="AJ19" s="4" t="inlineStr">
        <is>
          <t>Гиго</t>
        </is>
      </c>
      <c r="AK19" s="4" t="inlineStr">
        <is>
          <t>ЦЗ</t>
        </is>
      </c>
      <c r="AL19" s="4" t="n">
        <v>78</v>
      </c>
    </row>
    <row r="20" ht="12" customHeight="1">
      <c r="A20" s="4" t="inlineStr">
        <is>
          <t>Кучаев</t>
        </is>
      </c>
      <c r="B20" s="4" t="inlineStr">
        <is>
          <t>ЦАП</t>
        </is>
      </c>
      <c r="C20" s="4" t="n">
        <v>76</v>
      </c>
      <c r="F20" s="4" t="inlineStr">
        <is>
          <t>Эмболо</t>
        </is>
      </c>
      <c r="G20" s="4" t="inlineStr">
        <is>
          <t>ФРВ</t>
        </is>
      </c>
      <c r="H20" s="4" t="n">
        <v>78</v>
      </c>
      <c r="K20" s="4" t="inlineStr">
        <is>
          <t>Алонсо</t>
        </is>
      </c>
      <c r="L20" s="4" t="inlineStr">
        <is>
          <t>ЦЗ</t>
        </is>
      </c>
      <c r="M20" s="4" t="n">
        <v>77</v>
      </c>
      <c r="P20" s="4" t="inlineStr">
        <is>
          <t>Мартинш</t>
        </is>
      </c>
      <c r="Q20" s="4" t="inlineStr">
        <is>
          <t>ПП</t>
        </is>
      </c>
      <c r="R20" s="4" t="n">
        <v>75</v>
      </c>
      <c r="U20" s="4" t="inlineStr">
        <is>
          <t>Максименко</t>
        </is>
      </c>
      <c r="V20" s="4" t="inlineStr">
        <is>
          <t>ВРТ</t>
        </is>
      </c>
      <c r="W20" s="4" t="n">
        <v>77</v>
      </c>
      <c r="Z20" s="4" t="inlineStr">
        <is>
          <t>Тёрнер</t>
        </is>
      </c>
      <c r="AA20" s="4" t="inlineStr">
        <is>
          <t>ВРТ</t>
        </is>
      </c>
      <c r="AB20" s="4" t="n">
        <v>77</v>
      </c>
      <c r="AE20" s="4" t="inlineStr">
        <is>
          <t>Калимуендо</t>
        </is>
      </c>
      <c r="AF20" s="4" t="inlineStr">
        <is>
          <t>ФРВ</t>
        </is>
      </c>
      <c r="AG20" s="4" t="n">
        <v>76</v>
      </c>
      <c r="AJ20" s="4" t="inlineStr">
        <is>
          <t>Ранделович</t>
        </is>
      </c>
      <c r="AK20" s="4" t="inlineStr">
        <is>
          <t>ЛФА</t>
        </is>
      </c>
      <c r="AL20" s="4" t="n">
        <v>75</v>
      </c>
    </row>
    <row r="21" ht="12" customHeight="1">
      <c r="A21" s="4" t="inlineStr">
        <is>
          <t>Роша</t>
        </is>
      </c>
      <c r="B21" s="4" t="inlineStr">
        <is>
          <t>ЦЗ</t>
        </is>
      </c>
      <c r="C21" s="4" t="n">
        <v>76</v>
      </c>
      <c r="F21" s="4" t="inlineStr">
        <is>
          <t>Караваев</t>
        </is>
      </c>
      <c r="G21" s="4" t="inlineStr">
        <is>
          <t>ПЗ</t>
        </is>
      </c>
      <c r="H21" s="4" t="n">
        <v>74</v>
      </c>
      <c r="K21" s="4" t="inlineStr">
        <is>
          <t>Боржес</t>
        </is>
      </c>
      <c r="L21" s="4" t="inlineStr">
        <is>
          <t>ЦАП</t>
        </is>
      </c>
      <c r="M21" s="4" t="n">
        <v>73</v>
      </c>
      <c r="P21" s="4" t="inlineStr">
        <is>
          <t>Данило</t>
        </is>
      </c>
      <c r="Q21" s="4" t="inlineStr">
        <is>
          <t>ЦЗ</t>
        </is>
      </c>
      <c r="R21" s="4" t="n">
        <v>74</v>
      </c>
      <c r="U21" s="4" t="inlineStr">
        <is>
          <t>Мартинс</t>
        </is>
      </c>
      <c r="V21" s="4" t="inlineStr">
        <is>
          <t>ЦП</t>
        </is>
      </c>
      <c r="W21" s="4" t="n">
        <v>71</v>
      </c>
      <c r="Z21" s="4" t="inlineStr">
        <is>
          <t>Патрик</t>
        </is>
      </c>
      <c r="AA21" s="4" t="inlineStr">
        <is>
          <t>ЦЗ</t>
        </is>
      </c>
      <c r="AB21" s="4" t="n">
        <v>76</v>
      </c>
      <c r="AE21" s="4" t="inlineStr">
        <is>
          <t>Горшков</t>
        </is>
      </c>
      <c r="AF21" s="4" t="inlineStr">
        <is>
          <t>ЛЗ</t>
        </is>
      </c>
      <c r="AG21" s="4" t="n">
        <v>74</v>
      </c>
      <c r="AJ21" s="4" t="inlineStr">
        <is>
          <t>Биль</t>
        </is>
      </c>
      <c r="AK21" s="4" t="inlineStr">
        <is>
          <t>ПЗ</t>
        </is>
      </c>
      <c r="AL21" s="4" t="n">
        <v>72</v>
      </c>
    </row>
    <row r="22" ht="12" customHeight="1">
      <c r="A22" s="4" t="inlineStr">
        <is>
          <t>Адингра</t>
        </is>
      </c>
      <c r="B22" s="4" t="inlineStr">
        <is>
          <t>ЛФА</t>
        </is>
      </c>
      <c r="C22" s="4" t="n">
        <v>75</v>
      </c>
      <c r="F22" s="4" t="inlineStr">
        <is>
          <t>Ду Кейрош</t>
        </is>
      </c>
      <c r="G22" s="4" t="inlineStr">
        <is>
          <t>ЦП</t>
        </is>
      </c>
      <c r="H22" s="4" t="n">
        <v>73</v>
      </c>
      <c r="K22" s="4" t="inlineStr">
        <is>
          <t>Волков</t>
        </is>
      </c>
      <c r="L22" s="4" t="inlineStr">
        <is>
          <t>ПЗ</t>
        </is>
      </c>
      <c r="M22" s="4" t="n">
        <v>72</v>
      </c>
      <c r="P22" s="4" t="inlineStr">
        <is>
          <t>Пиняев</t>
        </is>
      </c>
      <c r="Q22" s="4" t="inlineStr">
        <is>
          <t>ЛФА</t>
        </is>
      </c>
      <c r="R22" s="4" t="n">
        <v>74</v>
      </c>
      <c r="U22" s="4" t="inlineStr">
        <is>
          <t>Пруцев</t>
        </is>
      </c>
      <c r="V22" s="4" t="inlineStr">
        <is>
          <t>ЦП</t>
        </is>
      </c>
      <c r="W22" s="4" t="n">
        <v>71</v>
      </c>
      <c r="Z22" s="4" t="inlineStr">
        <is>
          <t>Гиттенс</t>
        </is>
      </c>
      <c r="AA22" s="4" t="inlineStr">
        <is>
          <t>ЛФА</t>
        </is>
      </c>
      <c r="AB22" s="4" t="n">
        <v>75</v>
      </c>
      <c r="AE22" s="4" t="inlineStr">
        <is>
          <t>Бабкин</t>
        </is>
      </c>
      <c r="AF22" s="4" t="inlineStr">
        <is>
          <t>ЦАП</t>
        </is>
      </c>
      <c r="AG22" s="4" t="n">
        <v>73</v>
      </c>
      <c r="AJ22" s="4" t="inlineStr">
        <is>
          <t>Кокорин</t>
        </is>
      </c>
      <c r="AK22" s="4" t="inlineStr">
        <is>
          <t>ПФА</t>
        </is>
      </c>
      <c r="AL22" s="4" t="n">
        <v>72</v>
      </c>
    </row>
    <row r="23" ht="12" customHeight="1">
      <c r="A23" s="4" t="inlineStr">
        <is>
          <t>Мухин</t>
        </is>
      </c>
      <c r="B23" s="4" t="inlineStr">
        <is>
          <t>ЦП</t>
        </is>
      </c>
      <c r="C23" s="4" t="n">
        <v>71</v>
      </c>
      <c r="F23" s="4" t="inlineStr">
        <is>
          <t>Коваленко</t>
        </is>
      </c>
      <c r="G23" s="4" t="inlineStr">
        <is>
          <t>ЦАП</t>
        </is>
      </c>
      <c r="H23" s="4" t="n">
        <v>71</v>
      </c>
      <c r="K23" s="4" t="inlineStr">
        <is>
          <t>Агкацев</t>
        </is>
      </c>
      <c r="L23" s="4" t="inlineStr">
        <is>
          <t>ВРТ</t>
        </is>
      </c>
      <c r="M23" s="4" t="n">
        <v>71</v>
      </c>
      <c r="P23" s="4" t="inlineStr">
        <is>
          <t>Карпукас</t>
        </is>
      </c>
      <c r="Q23" s="4" t="inlineStr">
        <is>
          <t>ЦП</t>
        </is>
      </c>
      <c r="R23" s="4" t="n">
        <v>70</v>
      </c>
      <c r="U23" s="4" t="inlineStr">
        <is>
          <t>Рябчук</t>
        </is>
      </c>
      <c r="V23" s="4" t="inlineStr">
        <is>
          <t>ЛЗ</t>
        </is>
      </c>
      <c r="W23" s="4" t="n">
        <v>71</v>
      </c>
      <c r="Z23" s="4" t="inlineStr">
        <is>
          <t>Даса</t>
        </is>
      </c>
      <c r="AA23" s="4" t="inlineStr">
        <is>
          <t>ПЗ</t>
        </is>
      </c>
      <c r="AB23" s="4" t="n">
        <v>73</v>
      </c>
      <c r="AE23" s="4" t="inlineStr">
        <is>
          <t>Боргес</t>
        </is>
      </c>
      <c r="AF23" s="4" t="inlineStr">
        <is>
          <t>ЛП</t>
        </is>
      </c>
      <c r="AG23" s="4" t="n">
        <v>67</v>
      </c>
      <c r="AJ23" s="4" t="inlineStr">
        <is>
          <t>Палмер</t>
        </is>
      </c>
      <c r="AK23" s="4" t="inlineStr">
        <is>
          <t>ЦАП</t>
        </is>
      </c>
      <c r="AL23" s="4" t="n">
        <v>68</v>
      </c>
    </row>
    <row r="24" ht="12" customHeight="1">
      <c r="B24" s="3" t="inlineStr">
        <is>
          <t>резерв</t>
        </is>
      </c>
      <c r="G24" s="3" t="inlineStr">
        <is>
          <t>резерв</t>
        </is>
      </c>
      <c r="L24" s="3" t="inlineStr">
        <is>
          <t>резерв</t>
        </is>
      </c>
      <c r="Q24" s="3" t="inlineStr">
        <is>
          <t>резерв</t>
        </is>
      </c>
      <c r="V24" s="3" t="inlineStr">
        <is>
          <t>резерв</t>
        </is>
      </c>
      <c r="AA24" s="3" t="inlineStr">
        <is>
          <t>резерв</t>
        </is>
      </c>
      <c r="AF24" s="3" t="inlineStr">
        <is>
          <t>резерв</t>
        </is>
      </c>
      <c r="AK24" s="3" t="inlineStr">
        <is>
          <t>резерв</t>
        </is>
      </c>
    </row>
    <row r="25" ht="12" customHeight="1">
      <c r="A25" s="4" t="inlineStr">
        <is>
          <t>Де Томас</t>
        </is>
      </c>
      <c r="B25" s="4" t="inlineStr">
        <is>
          <t>ФРВ</t>
        </is>
      </c>
      <c r="C25" s="4" t="n">
        <v>79</v>
      </c>
      <c r="F25" s="4" t="inlineStr">
        <is>
          <t>Градит</t>
        </is>
      </c>
      <c r="G25" s="4" t="inlineStr">
        <is>
          <t>ЦЗ</t>
        </is>
      </c>
      <c r="H25" s="4" t="n">
        <v>78</v>
      </c>
      <c r="K25" s="4" t="inlineStr">
        <is>
          <t>Милла</t>
        </is>
      </c>
      <c r="L25" s="4" t="inlineStr">
        <is>
          <t>ЦП</t>
        </is>
      </c>
      <c r="M25" s="4" t="n">
        <v>78</v>
      </c>
      <c r="P25" s="4" t="inlineStr">
        <is>
          <t>Капрари</t>
        </is>
      </c>
      <c r="Q25" s="4" t="inlineStr">
        <is>
          <t>ФРВ</t>
        </is>
      </c>
      <c r="R25" s="4" t="n">
        <v>77</v>
      </c>
      <c r="U25" s="4" t="inlineStr">
        <is>
          <t>Фуллкруг</t>
        </is>
      </c>
      <c r="V25" s="4" t="inlineStr">
        <is>
          <t>ФРВ</t>
        </is>
      </c>
      <c r="W25" s="4" t="n">
        <v>81</v>
      </c>
      <c r="Z25" s="4" t="inlineStr">
        <is>
          <t>Салемайкерс</t>
        </is>
      </c>
      <c r="AA25" s="4" t="inlineStr">
        <is>
          <t>ПФА</t>
        </is>
      </c>
      <c r="AB25" s="4" t="n">
        <v>78</v>
      </c>
      <c r="AE25" s="4" t="inlineStr">
        <is>
          <t>Риччи</t>
        </is>
      </c>
      <c r="AF25" s="4" t="inlineStr">
        <is>
          <t>ЦП</t>
        </is>
      </c>
      <c r="AG25" s="4" t="n">
        <v>75</v>
      </c>
      <c r="AJ25" s="4" t="inlineStr">
        <is>
          <t>Менди</t>
        </is>
      </c>
      <c r="AK25" s="4" t="inlineStr">
        <is>
          <t>ВРТ</t>
        </is>
      </c>
      <c r="AL25" s="4" t="n">
        <v>81</v>
      </c>
    </row>
    <row r="26" ht="12" customHeight="1">
      <c r="A26" s="4" t="inlineStr">
        <is>
          <t>Кайо Энрике</t>
        </is>
      </c>
      <c r="B26" s="4" t="inlineStr">
        <is>
          <t>ЛЗ</t>
        </is>
      </c>
      <c r="C26" s="4" t="n">
        <v>78</v>
      </c>
      <c r="F26" s="4" t="inlineStr">
        <is>
          <t>Паласиос</t>
        </is>
      </c>
      <c r="G26" s="4" t="inlineStr">
        <is>
          <t>ПФА</t>
        </is>
      </c>
      <c r="H26" s="4" t="n">
        <v>75</v>
      </c>
      <c r="K26" s="4" t="inlineStr">
        <is>
          <t>Тимбер</t>
        </is>
      </c>
      <c r="L26" s="4" t="inlineStr">
        <is>
          <t>ЦП</t>
        </is>
      </c>
      <c r="M26" s="4" t="n">
        <v>77</v>
      </c>
      <c r="P26" s="4" t="inlineStr">
        <is>
          <t>Минамино</t>
        </is>
      </c>
      <c r="Q26" s="4" t="inlineStr">
        <is>
          <t>ФРВ</t>
        </is>
      </c>
      <c r="R26" s="4" t="n">
        <v>76</v>
      </c>
      <c r="U26" s="4" t="inlineStr">
        <is>
          <t>Эдвардс</t>
        </is>
      </c>
      <c r="V26" s="4" t="inlineStr">
        <is>
          <t>ПФА</t>
        </is>
      </c>
      <c r="W26" s="4" t="n">
        <v>80</v>
      </c>
      <c r="Z26" s="4" t="inlineStr">
        <is>
          <t>Бальбуэна</t>
        </is>
      </c>
      <c r="AA26" s="4" t="inlineStr">
        <is>
          <t>ЦЗ</t>
        </is>
      </c>
      <c r="AB26" s="4" t="n">
        <v>76</v>
      </c>
      <c r="AE26" s="4" t="inlineStr">
        <is>
          <t>Эдуард</t>
        </is>
      </c>
      <c r="AF26" s="4" t="inlineStr">
        <is>
          <t>ФРВ</t>
        </is>
      </c>
      <c r="AG26" s="4" t="n">
        <v>75</v>
      </c>
      <c r="AJ26" s="4" t="inlineStr">
        <is>
          <t>Гуе</t>
        </is>
      </c>
      <c r="AK26" s="4" t="inlineStr">
        <is>
          <t>ЦП</t>
        </is>
      </c>
      <c r="AL26" s="4" t="n">
        <v>77</v>
      </c>
    </row>
    <row r="27" ht="12" customHeight="1">
      <c r="A27" s="4" t="inlineStr">
        <is>
          <t>Витинья</t>
        </is>
      </c>
      <c r="B27" s="4" t="inlineStr">
        <is>
          <t>ФРВ</t>
        </is>
      </c>
      <c r="C27" s="4" t="n">
        <v>76</v>
      </c>
      <c r="F27" s="4" t="inlineStr">
        <is>
          <t>Еракович</t>
        </is>
      </c>
      <c r="G27" s="4" t="inlineStr">
        <is>
          <t>ЦЗ</t>
        </is>
      </c>
      <c r="H27" s="4" t="n">
        <v>74</v>
      </c>
      <c r="K27" s="4" t="inlineStr">
        <is>
          <t>Черников</t>
        </is>
      </c>
      <c r="L27" s="4" t="inlineStr">
        <is>
          <t>ЦП</t>
        </is>
      </c>
      <c r="M27" s="4" t="n">
        <v>76</v>
      </c>
      <c r="P27" s="4" t="inlineStr">
        <is>
          <t>Глушенков</t>
        </is>
      </c>
      <c r="Q27" s="4" t="inlineStr">
        <is>
          <t>ПФА</t>
        </is>
      </c>
      <c r="R27" s="4" t="n">
        <v>75</v>
      </c>
      <c r="U27" s="4" t="inlineStr">
        <is>
          <t>Нандез</t>
        </is>
      </c>
      <c r="V27" s="4" t="inlineStr">
        <is>
          <t>ПФА</t>
        </is>
      </c>
      <c r="W27" s="4" t="n">
        <v>76</v>
      </c>
      <c r="Z27" s="4" t="inlineStr">
        <is>
          <t>Грулёв</t>
        </is>
      </c>
      <c r="AA27" s="4" t="inlineStr">
        <is>
          <t>ЛФА</t>
        </is>
      </c>
      <c r="AB27" s="4" t="n">
        <v>73</v>
      </c>
      <c r="AE27" s="4" t="inlineStr">
        <is>
          <t>Евгеньев</t>
        </is>
      </c>
      <c r="AF27" s="4" t="inlineStr">
        <is>
          <t>ЦЗ</t>
        </is>
      </c>
      <c r="AG27" s="4" t="n">
        <v>73</v>
      </c>
      <c r="AJ27" s="4" t="inlineStr">
        <is>
          <t>Мунетси</t>
        </is>
      </c>
      <c r="AK27" s="4" t="inlineStr">
        <is>
          <t>ЦП</t>
        </is>
      </c>
      <c r="AL27" s="4" t="n">
        <v>77</v>
      </c>
    </row>
    <row r="28" ht="12" customHeight="1">
      <c r="A28" s="4" t="inlineStr">
        <is>
          <t>Мудрык</t>
        </is>
      </c>
      <c r="B28" s="4" t="inlineStr">
        <is>
          <t>ФРВ</t>
        </is>
      </c>
      <c r="C28" s="4" t="n">
        <v>73</v>
      </c>
      <c r="F28" s="4" t="inlineStr">
        <is>
          <t>Ерохин</t>
        </is>
      </c>
      <c r="G28" s="4" t="inlineStr">
        <is>
          <t>ЦП</t>
        </is>
      </c>
      <c r="H28" s="4" t="n">
        <v>74</v>
      </c>
      <c r="K28" s="4" t="inlineStr">
        <is>
          <t>Барриос</t>
        </is>
      </c>
      <c r="L28" s="4" t="inlineStr">
        <is>
          <t>ЦОП</t>
        </is>
      </c>
      <c r="M28" s="4" t="n">
        <v>74</v>
      </c>
      <c r="P28" s="4" t="inlineStr">
        <is>
          <t>Сулейманов</t>
        </is>
      </c>
      <c r="Q28" s="4" t="inlineStr">
        <is>
          <t>ФРВ</t>
        </is>
      </c>
      <c r="R28" s="4" t="n">
        <v>73</v>
      </c>
      <c r="U28" s="4" t="inlineStr">
        <is>
          <t>Тезе</t>
        </is>
      </c>
      <c r="V28" s="4" t="inlineStr">
        <is>
          <t>ПЗ</t>
        </is>
      </c>
      <c r="W28" s="4" t="n">
        <v>76</v>
      </c>
      <c r="Z28" s="4" t="inlineStr">
        <is>
          <t>Маричаль</t>
        </is>
      </c>
      <c r="AA28" s="4" t="inlineStr">
        <is>
          <t>ЦЗ</t>
        </is>
      </c>
      <c r="AB28" s="4" t="n">
        <v>73</v>
      </c>
      <c r="AE28" s="4" t="inlineStr">
        <is>
          <t>Ежов</t>
        </is>
      </c>
      <c r="AF28" s="4" t="inlineStr">
        <is>
          <t>ПФА</t>
        </is>
      </c>
      <c r="AG28" s="4" t="n">
        <v>70</v>
      </c>
      <c r="AJ28" s="4" t="inlineStr">
        <is>
          <t>Лападула</t>
        </is>
      </c>
      <c r="AK28" s="4" t="inlineStr">
        <is>
          <t>ФРВ</t>
        </is>
      </c>
      <c r="AL28" s="4" t="n">
        <v>75</v>
      </c>
    </row>
    <row r="29" ht="12" customHeight="1">
      <c r="A29" s="4" t="inlineStr">
        <is>
          <t>Хелльвен</t>
        </is>
      </c>
      <c r="B29" s="4" t="inlineStr">
        <is>
          <t>ПЗ</t>
        </is>
      </c>
      <c r="C29" s="4" t="n">
        <v>73</v>
      </c>
      <c r="F29" s="4" t="inlineStr">
        <is>
          <t>Мантуан</t>
        </is>
      </c>
      <c r="G29" s="4" t="inlineStr">
        <is>
          <t>ЛФА</t>
        </is>
      </c>
      <c r="H29" s="4" t="n">
        <v>72</v>
      </c>
      <c r="K29" s="4" t="inlineStr">
        <is>
          <t>Кайо</t>
        </is>
      </c>
      <c r="L29" s="4" t="inlineStr">
        <is>
          <t>ЦЗ</t>
        </is>
      </c>
      <c r="M29" s="4" t="n">
        <v>74</v>
      </c>
      <c r="P29" s="4" t="inlineStr">
        <is>
          <t>Тикнизян</t>
        </is>
      </c>
      <c r="Q29" s="4" t="inlineStr">
        <is>
          <t>ПЗ</t>
        </is>
      </c>
      <c r="R29" s="4" t="n">
        <v>73</v>
      </c>
      <c r="U29" s="4" t="inlineStr">
        <is>
          <t>Зиньковский</t>
        </is>
      </c>
      <c r="V29" s="4" t="inlineStr">
        <is>
          <t>ЛФА</t>
        </is>
      </c>
      <c r="W29" s="4" t="n">
        <v>74</v>
      </c>
      <c r="Z29" s="4" t="inlineStr">
        <is>
          <t>Скопинцев</t>
        </is>
      </c>
      <c r="AA29" s="4" t="inlineStr">
        <is>
          <t>ЛЗ</t>
        </is>
      </c>
      <c r="AB29" s="4" t="n">
        <v>73</v>
      </c>
      <c r="AE29" s="4" t="inlineStr">
        <is>
          <t>Иванисеня</t>
        </is>
      </c>
      <c r="AF29" s="4" t="inlineStr">
        <is>
          <t>ЦП</t>
        </is>
      </c>
      <c r="AG29" s="4" t="n">
        <v>70</v>
      </c>
      <c r="AJ29" s="4" t="inlineStr">
        <is>
          <t>Мамин</t>
        </is>
      </c>
      <c r="AK29" s="4" t="inlineStr">
        <is>
          <t>ЦЗ</t>
        </is>
      </c>
      <c r="AL29" s="4" t="n">
        <v>72</v>
      </c>
    </row>
    <row r="30" ht="12" customHeight="1">
      <c r="A30" s="4" t="inlineStr">
        <is>
          <t>Файзуллаев</t>
        </is>
      </c>
      <c r="B30" s="4" t="inlineStr">
        <is>
          <t>ПФА</t>
        </is>
      </c>
      <c r="C30" s="4" t="n">
        <v>71</v>
      </c>
      <c r="F30" s="4" t="inlineStr">
        <is>
          <t>Чистяков</t>
        </is>
      </c>
      <c r="G30" s="4" t="inlineStr">
        <is>
          <t>ЦЗ</t>
        </is>
      </c>
      <c r="H30" s="4" t="n">
        <v>70</v>
      </c>
      <c r="K30" s="4" t="inlineStr">
        <is>
          <t>Олаза</t>
        </is>
      </c>
      <c r="L30" s="4" t="inlineStr">
        <is>
          <t>ЛЗ</t>
        </is>
      </c>
      <c r="M30" s="4" t="n">
        <v>74</v>
      </c>
      <c r="P30" s="4" t="inlineStr">
        <is>
          <t>Самошников</t>
        </is>
      </c>
      <c r="Q30" s="4" t="inlineStr">
        <is>
          <t>ЛЗ</t>
        </is>
      </c>
      <c r="R30" s="4" t="n">
        <v>71</v>
      </c>
      <c r="U30" s="4" t="inlineStr">
        <is>
          <t>Хлусевич</t>
        </is>
      </c>
      <c r="V30" s="4" t="inlineStr">
        <is>
          <t>ПЗ</t>
        </is>
      </c>
      <c r="W30" s="4" t="n">
        <v>71</v>
      </c>
      <c r="Z30" s="4" t="inlineStr">
        <is>
          <t>Фернандез</t>
        </is>
      </c>
      <c r="AA30" s="4" t="inlineStr">
        <is>
          <t>ЦЗ</t>
        </is>
      </c>
      <c r="AB30" s="4" t="n">
        <v>73</v>
      </c>
      <c r="AE30" s="4" t="inlineStr">
        <is>
          <t>Рассказов</t>
        </is>
      </c>
      <c r="AF30" s="4" t="inlineStr">
        <is>
          <t>ПЗ</t>
        </is>
      </c>
      <c r="AG30" s="4" t="n">
        <v>70</v>
      </c>
      <c r="AJ30" s="4" t="inlineStr">
        <is>
          <t>Газинский</t>
        </is>
      </c>
      <c r="AK30" s="4" t="inlineStr">
        <is>
          <t>ЦП</t>
        </is>
      </c>
      <c r="AL30" s="4" t="n">
        <v>71</v>
      </c>
    </row>
    <row r="31" ht="12" customHeight="1">
      <c r="A31" s="4" t="inlineStr">
        <is>
          <t>Агапов</t>
        </is>
      </c>
      <c r="B31" s="4" t="inlineStr">
        <is>
          <t>ЦЗ</t>
        </is>
      </c>
      <c r="C31" s="4" t="n">
        <v>68</v>
      </c>
      <c r="F31" s="4" t="n"/>
      <c r="G31" s="4" t="n"/>
      <c r="H31" s="4" t="n"/>
      <c r="K31" s="4" t="inlineStr">
        <is>
          <t>Кривцов</t>
        </is>
      </c>
      <c r="L31" s="4" t="inlineStr">
        <is>
          <t>ЦАП</t>
        </is>
      </c>
      <c r="M31" s="4" t="n">
        <v>71</v>
      </c>
      <c r="P31" s="4" t="inlineStr">
        <is>
          <t>Сильянов</t>
        </is>
      </c>
      <c r="Q31" s="4" t="inlineStr">
        <is>
          <t>ПЗ</t>
        </is>
      </c>
      <c r="R31" s="4" t="n">
        <v>70</v>
      </c>
      <c r="U31" s="4" t="n"/>
      <c r="V31" s="4" t="n"/>
      <c r="W31" s="4" t="n"/>
      <c r="Z31" s="4" t="inlineStr">
        <is>
          <t>Бителло</t>
        </is>
      </c>
      <c r="AA31" s="4" t="inlineStr">
        <is>
          <t>ЦАП</t>
        </is>
      </c>
      <c r="AB31" s="4" t="n">
        <v>71</v>
      </c>
      <c r="AE31" s="4" t="inlineStr">
        <is>
          <t>Йилдыз</t>
        </is>
      </c>
      <c r="AF31" s="4" t="inlineStr">
        <is>
          <t>ФРВ</t>
        </is>
      </c>
      <c r="AG31" s="4" t="n">
        <v>64</v>
      </c>
      <c r="AJ31" s="4" t="inlineStr">
        <is>
          <t>Юшин</t>
        </is>
      </c>
      <c r="AK31" s="4" t="inlineStr">
        <is>
          <t>ПФА</t>
        </is>
      </c>
      <c r="AL31" s="4" t="n">
        <v>71</v>
      </c>
    </row>
    <row r="32" ht="12" customHeight="1">
      <c r="A32" s="4" t="inlineStr">
        <is>
          <t>Ермаков</t>
        </is>
      </c>
      <c r="B32" s="4" t="inlineStr">
        <is>
          <t>ЦП</t>
        </is>
      </c>
      <c r="C32" s="4" t="n">
        <v>68</v>
      </c>
      <c r="F32" s="4" t="n"/>
      <c r="G32" s="4" t="n"/>
      <c r="H32" s="4" t="n"/>
      <c r="K32" s="4" t="n"/>
      <c r="L32" s="4" t="n"/>
      <c r="M32" s="4" t="n"/>
      <c r="P32" s="4" t="n"/>
      <c r="Q32" s="4" t="n"/>
      <c r="R32" s="4" t="n"/>
      <c r="U32" s="4" t="n"/>
      <c r="V32" s="4" t="n"/>
      <c r="W32" s="4" t="n"/>
      <c r="Z32" s="4" t="inlineStr">
        <is>
          <t>Гагнидзе</t>
        </is>
      </c>
      <c r="AA32" s="4" t="inlineStr">
        <is>
          <t>ЦП</t>
        </is>
      </c>
      <c r="AB32" s="4" t="n">
        <v>68</v>
      </c>
      <c r="AE32" s="4" t="n"/>
      <c r="AF32" s="4" t="n"/>
      <c r="AG32" s="4" t="n"/>
      <c r="AJ32" s="4" t="n"/>
      <c r="AK32" s="4" t="n"/>
      <c r="AL32" s="4" t="n"/>
    </row>
    <row r="33" ht="12" customHeight="1">
      <c r="A33" s="4" t="n"/>
      <c r="B33" s="4" t="n"/>
      <c r="C33" s="4" t="n"/>
      <c r="F33" s="4" t="n"/>
      <c r="G33" s="4" t="n"/>
      <c r="H33" s="4" t="n"/>
      <c r="K33" s="4" t="n"/>
      <c r="L33" s="4" t="n"/>
      <c r="M33" s="4" t="n"/>
      <c r="P33" s="4" t="n"/>
      <c r="Q33" s="4" t="n"/>
      <c r="R33" s="4" t="n"/>
      <c r="U33" s="4" t="n"/>
      <c r="V33" s="4" t="n"/>
      <c r="W33" s="4" t="n"/>
      <c r="Z33" s="4" t="n"/>
      <c r="AA33" s="4" t="n"/>
      <c r="AB33" s="4" t="n"/>
      <c r="AE33" s="4" t="n"/>
      <c r="AF33" s="4" t="n"/>
      <c r="AG33" s="4" t="n"/>
      <c r="AJ33" s="4" t="n"/>
      <c r="AK33" s="4" t="n"/>
      <c r="AL33" s="4" t="n"/>
    </row>
    <row r="34" ht="12" customHeight="1"/>
    <row r="35" ht="12" customHeight="1"/>
    <row r="36" ht="12" customHeight="1">
      <c r="A36" s="2">
        <f>"Сити "&amp;MIN(5,SUMPRODUCT((LEN(A$38:A$66)&gt;0)*(ISERROR(MATCH(A$38:A$66,_orig!$I$2:$I$26,0)))))&amp;"/5 IN "&amp;MIN(5,SUMPRODUCT((LEN(_orig!$I$2:$I$26)&gt;0)*(ISERROR(MATCH(_orig!$I$2:$I$26,A$38:A$66,0)))))&amp;"/5 OUT"</f>
        <v/>
      </c>
      <c r="F36" s="2">
        <f>"Мю "&amp;MIN(5,SUMPRODUCT((LEN(F$38:F$66)&gt;0)*(ISERROR(MATCH(F$38:F$66,_orig!$J$2:$J$26,0)))))&amp;"/5 IN "&amp;MIN(5,SUMPRODUCT((LEN(_orig!$J$2:$J$26)&gt;0)*(ISERROR(MATCH(_orig!$J$2:$J$26,F$38:F$66,0)))))&amp;"/5 OUT"</f>
        <v/>
      </c>
      <c r="K36" s="2">
        <f>"Ливерпуль "&amp;MIN(5,SUMPRODUCT((LEN(K$38:K$66)&gt;0)*(ISERROR(MATCH(K$38:K$66,_orig!$K$2:$K$26,0)))))&amp;"/5 IN "&amp;MIN(5,SUMPRODUCT((LEN(_orig!$K$2:$K$26)&gt;0)*(ISERROR(MATCH(_orig!$K$2:$K$26,K$38:K$66,0)))))&amp;"/5 OUT"</f>
        <v/>
      </c>
      <c r="P36" s="2">
        <f>"Арсенал "&amp;MIN(5,SUMPRODUCT((LEN(P$38:P$66)&gt;0)*(ISERROR(MATCH(P$38:P$66,_orig!$L$2:$L$26,0)))))&amp;"/5 IN "&amp;MIN(5,SUMPRODUCT((LEN(_orig!$L$2:$L$26)&gt;0)*(ISERROR(MATCH(_orig!$L$2:$L$26,P$38:P$66,0)))))&amp;"/5 OUT"</f>
        <v/>
      </c>
      <c r="U36" s="2">
        <f>"Астон Вилла "&amp;MIN(5,SUMPRODUCT((LEN(U$38:U$66)&gt;0)*(ISERROR(MATCH(U$38:U$66,_orig!$M$2:$M$28,0)))))&amp;"/5 IN "&amp;MIN(5,SUMPRODUCT((LEN(_orig!$M$2:$M$28)&gt;0)*(ISERROR(MATCH(_orig!$M$2:$M$28,U$38:U$66,0)))))&amp;"/5 OUT"</f>
        <v/>
      </c>
      <c r="Z36" s="2">
        <f>"Челси "&amp;MIN(5,SUMPRODUCT((LEN(Z$38:Z$66)&gt;0)*(ISERROR(MATCH(Z$38:Z$66,_orig!$N$2:$N$26,0)))))&amp;"/5 IN "&amp;MIN(5,SUMPRODUCT((LEN(_orig!$N$2:$N$26)&gt;0)*(ISERROR(MATCH(_orig!$N$2:$N$26,Z$38:Z$66,0)))))&amp;"/5 OUT"</f>
        <v/>
      </c>
      <c r="AE36" s="2">
        <f>"Тоттенхэм "&amp;MIN(5,SUMPRODUCT((LEN(AE$38:AE$66)&gt;0)*(ISERROR(MATCH(AE$38:AE$66,_orig!$O$2:$O$27,0)))))&amp;"/5 IN "&amp;MIN(5,SUMPRODUCT((LEN(_orig!$O$2:$O$27)&gt;0)*(ISERROR(MATCH(_orig!$O$2:$O$27,AE$38:AE$66,0)))))&amp;"/5 OUT"</f>
        <v/>
      </c>
      <c r="AJ36" s="2">
        <f>"Ньюкасл "&amp;MIN(5,SUMPRODUCT((LEN(AJ$38:AJ$66)&gt;0)*(ISERROR(MATCH(AJ$38:AJ$66,_orig!$P$2:$P$26,0)))))&amp;"/5 IN "&amp;MIN(5,SUMPRODUCT((LEN(_orig!$P$2:$P$26)&gt;0)*(ISERROR(MATCH(_orig!$P$2:$P$26,AJ$38:AJ$66,0)))))&amp;"/5 OUT"</f>
        <v/>
      </c>
    </row>
    <row r="37" ht="12" customHeight="1">
      <c r="B37" s="3" t="inlineStr">
        <is>
          <t>старт</t>
        </is>
      </c>
      <c r="G37" s="3" t="inlineStr">
        <is>
          <t>старт</t>
        </is>
      </c>
      <c r="L37" s="3" t="inlineStr">
        <is>
          <t>старт</t>
        </is>
      </c>
      <c r="Q37" s="3" t="inlineStr">
        <is>
          <t>старт</t>
        </is>
      </c>
      <c r="V37" s="3" t="inlineStr">
        <is>
          <t>старт</t>
        </is>
      </c>
      <c r="AA37" s="3" t="inlineStr">
        <is>
          <t>старт</t>
        </is>
      </c>
      <c r="AF37" s="3" t="inlineStr">
        <is>
          <t>старт</t>
        </is>
      </c>
      <c r="AK37" s="3" t="inlineStr">
        <is>
          <t>старт</t>
        </is>
      </c>
    </row>
    <row r="38" ht="12" customHeight="1">
      <c r="A38" s="4" t="inlineStr">
        <is>
          <t>Де Брюйне</t>
        </is>
      </c>
      <c r="B38" s="4" t="inlineStr">
        <is>
          <t>ЦАП</t>
        </is>
      </c>
      <c r="C38" s="4" t="n">
        <v>92</v>
      </c>
      <c r="F38" s="4" t="inlineStr">
        <is>
          <t>Фернандеш</t>
        </is>
      </c>
      <c r="G38" s="4" t="inlineStr">
        <is>
          <t>ЦАП</t>
        </is>
      </c>
      <c r="H38" s="4" t="n">
        <v>89</v>
      </c>
      <c r="K38" s="4" t="inlineStr">
        <is>
          <t>Алиссон</t>
        </is>
      </c>
      <c r="L38" s="4" t="inlineStr">
        <is>
          <t>ВРТ</t>
        </is>
      </c>
      <c r="M38" s="4" t="n">
        <v>90</v>
      </c>
      <c r="P38" s="4" t="inlineStr">
        <is>
          <t>Салиба</t>
        </is>
      </c>
      <c r="Q38" s="4" t="inlineStr">
        <is>
          <t>ЦЗ</t>
        </is>
      </c>
      <c r="R38" s="4" t="n">
        <v>89</v>
      </c>
      <c r="U38" s="4" t="inlineStr">
        <is>
          <t>Мартинез</t>
        </is>
      </c>
      <c r="V38" s="4" t="inlineStr">
        <is>
          <t>ВРТ</t>
        </is>
      </c>
      <c r="W38" s="4" t="n">
        <v>85</v>
      </c>
      <c r="Z38" s="4" t="inlineStr">
        <is>
          <t>Марез</t>
        </is>
      </c>
      <c r="AA38" s="4" t="inlineStr">
        <is>
          <t>ФРВ</t>
        </is>
      </c>
      <c r="AB38" s="4" t="n">
        <v>89</v>
      </c>
      <c r="AE38" s="4" t="inlineStr">
        <is>
          <t>Сон</t>
        </is>
      </c>
      <c r="AF38" s="4" t="inlineStr">
        <is>
          <t>ЛФА</t>
        </is>
      </c>
      <c r="AG38" s="4" t="n">
        <v>88</v>
      </c>
      <c r="AJ38" s="4" t="inlineStr">
        <is>
          <t>Буну</t>
        </is>
      </c>
      <c r="AK38" s="4" t="inlineStr">
        <is>
          <t>ВРТ</t>
        </is>
      </c>
      <c r="AL38" s="4" t="n">
        <v>85</v>
      </c>
    </row>
    <row r="39" ht="12" customHeight="1">
      <c r="A39" s="4" t="inlineStr">
        <is>
          <t>Месси</t>
        </is>
      </c>
      <c r="B39" s="4" t="inlineStr">
        <is>
          <t>ПФА</t>
        </is>
      </c>
      <c r="C39" s="4" t="n">
        <v>90</v>
      </c>
      <c r="F39" s="4" t="inlineStr">
        <is>
          <t>Каземиро</t>
        </is>
      </c>
      <c r="G39" s="4" t="inlineStr">
        <is>
          <t>ЦОП</t>
        </is>
      </c>
      <c r="H39" s="4" t="n">
        <v>87</v>
      </c>
      <c r="K39" s="4" t="inlineStr">
        <is>
          <t>Жота</t>
        </is>
      </c>
      <c r="L39" s="4" t="inlineStr">
        <is>
          <t>ФРВ</t>
        </is>
      </c>
      <c r="M39" s="4" t="n">
        <v>90</v>
      </c>
      <c r="P39" s="4" t="inlineStr">
        <is>
          <t>Одегаард</t>
        </is>
      </c>
      <c r="Q39" s="4" t="inlineStr">
        <is>
          <t>ЦАП</t>
        </is>
      </c>
      <c r="R39" s="4" t="n">
        <v>88</v>
      </c>
      <c r="U39" s="4" t="inlineStr">
        <is>
          <t>Джеймс</t>
        </is>
      </c>
      <c r="V39" s="4" t="inlineStr">
        <is>
          <t>ПЗ</t>
        </is>
      </c>
      <c r="W39" s="4" t="n">
        <v>84</v>
      </c>
      <c r="Z39" s="4" t="inlineStr">
        <is>
          <t>Сильва</t>
        </is>
      </c>
      <c r="AA39" s="4" t="inlineStr">
        <is>
          <t>ЦЗ</t>
        </is>
      </c>
      <c r="AB39" s="4" t="n">
        <v>86</v>
      </c>
      <c r="AE39" s="4" t="inlineStr">
        <is>
          <t>Мэддисон</t>
        </is>
      </c>
      <c r="AF39" s="4" t="inlineStr">
        <is>
          <t>ЦАП</t>
        </is>
      </c>
      <c r="AG39" s="4" t="n">
        <v>84</v>
      </c>
      <c r="AJ39" s="4" t="inlineStr">
        <is>
          <t>Трипье</t>
        </is>
      </c>
      <c r="AK39" s="4" t="inlineStr">
        <is>
          <t>ПЗ</t>
        </is>
      </c>
      <c r="AL39" s="4" t="n">
        <v>85</v>
      </c>
    </row>
    <row r="40" ht="12" customHeight="1">
      <c r="A40" s="4" t="inlineStr">
        <is>
          <t>Холанд</t>
        </is>
      </c>
      <c r="B40" s="4" t="inlineStr">
        <is>
          <t>ФРВ</t>
        </is>
      </c>
      <c r="C40" s="4" t="n">
        <v>90</v>
      </c>
      <c r="F40" s="4" t="inlineStr">
        <is>
          <t>Милинкович-Савич</t>
        </is>
      </c>
      <c r="G40" s="4" t="inlineStr">
        <is>
          <t>ЦП</t>
        </is>
      </c>
      <c r="H40" s="4" t="n">
        <v>87</v>
      </c>
      <c r="K40" s="4" t="inlineStr">
        <is>
          <t>Мбаппе</t>
        </is>
      </c>
      <c r="L40" s="4" t="inlineStr">
        <is>
          <t>ЛФА</t>
        </is>
      </c>
      <c r="M40" s="4" t="n">
        <v>90</v>
      </c>
      <c r="P40" s="4" t="inlineStr">
        <is>
          <t>Хаверц</t>
        </is>
      </c>
      <c r="Q40" s="4" t="inlineStr">
        <is>
          <t>ФРВ</t>
        </is>
      </c>
      <c r="R40" s="4" t="n">
        <v>88</v>
      </c>
      <c r="U40" s="4" t="inlineStr">
        <is>
          <t>Торрес</t>
        </is>
      </c>
      <c r="V40" s="4" t="inlineStr">
        <is>
          <t>ЦЗ</t>
        </is>
      </c>
      <c r="W40" s="4" t="n">
        <v>83</v>
      </c>
      <c r="Z40" s="4" t="inlineStr">
        <is>
          <t>Стерлинг</t>
        </is>
      </c>
      <c r="AA40" s="4" t="inlineStr">
        <is>
          <t>ЛФА</t>
        </is>
      </c>
      <c r="AB40" s="4" t="n">
        <v>86</v>
      </c>
      <c r="AE40" s="4" t="inlineStr">
        <is>
          <t>Хёйберг</t>
        </is>
      </c>
      <c r="AF40" s="4" t="inlineStr">
        <is>
          <t>ЦП</t>
        </is>
      </c>
      <c r="AG40" s="4" t="n">
        <v>84</v>
      </c>
      <c r="AJ40" s="4" t="inlineStr">
        <is>
          <t>Исак</t>
        </is>
      </c>
      <c r="AK40" s="4" t="inlineStr">
        <is>
          <t>ФРВ</t>
        </is>
      </c>
      <c r="AL40" s="4" t="n">
        <v>84</v>
      </c>
    </row>
    <row r="41" ht="12" customHeight="1">
      <c r="A41" s="4" t="inlineStr">
        <is>
          <t>Тонали</t>
        </is>
      </c>
      <c r="B41" s="4" t="inlineStr">
        <is>
          <t>ЦП</t>
        </is>
      </c>
      <c r="C41" s="4" t="n">
        <v>89</v>
      </c>
      <c r="F41" s="4" t="inlineStr">
        <is>
          <t>Де Лигт</t>
        </is>
      </c>
      <c r="G41" s="4" t="inlineStr">
        <is>
          <t>ЦЗ</t>
        </is>
      </c>
      <c r="H41" s="4" t="n">
        <v>86</v>
      </c>
      <c r="K41" s="4" t="inlineStr">
        <is>
          <t>Смоллинг</t>
        </is>
      </c>
      <c r="L41" s="4" t="inlineStr">
        <is>
          <t>ЦЗ</t>
        </is>
      </c>
      <c r="M41" s="4" t="n">
        <v>90</v>
      </c>
      <c r="P41" s="4" t="inlineStr">
        <is>
          <t>Мерино</t>
        </is>
      </c>
      <c r="Q41" s="4" t="inlineStr">
        <is>
          <t>ЦП</t>
        </is>
      </c>
      <c r="R41" s="4" t="n">
        <v>87</v>
      </c>
      <c r="U41" s="4" t="inlineStr">
        <is>
          <t>Гакпо</t>
        </is>
      </c>
      <c r="V41" s="4" t="inlineStr">
        <is>
          <t>ФРВ</t>
        </is>
      </c>
      <c r="W41" s="4" t="n">
        <v>82</v>
      </c>
      <c r="Z41" s="4" t="inlineStr">
        <is>
          <t>Фофана</t>
        </is>
      </c>
      <c r="AA41" s="4" t="inlineStr">
        <is>
          <t>ЦЗ</t>
        </is>
      </c>
      <c r="AB41" s="4" t="n">
        <v>85</v>
      </c>
      <c r="AE41" s="4" t="inlineStr">
        <is>
          <t>Бентанкур</t>
        </is>
      </c>
      <c r="AF41" s="4" t="inlineStr">
        <is>
          <t>ЦП</t>
        </is>
      </c>
      <c r="AG41" s="4" t="n">
        <v>82</v>
      </c>
      <c r="AJ41" s="4" t="inlineStr">
        <is>
          <t>Рафа</t>
        </is>
      </c>
      <c r="AK41" s="4" t="inlineStr">
        <is>
          <t>ЛФА</t>
        </is>
      </c>
      <c r="AL41" s="4" t="n">
        <v>84</v>
      </c>
    </row>
    <row r="42" ht="12" customHeight="1">
      <c r="A42" s="4" t="inlineStr">
        <is>
          <t>Габриэль</t>
        </is>
      </c>
      <c r="B42" s="4" t="inlineStr">
        <is>
          <t>ЦЗ</t>
        </is>
      </c>
      <c r="C42" s="4" t="n">
        <v>88</v>
      </c>
      <c r="F42" s="4" t="inlineStr">
        <is>
          <t>Онана</t>
        </is>
      </c>
      <c r="G42" s="4" t="inlineStr">
        <is>
          <t>ВРТ</t>
        </is>
      </c>
      <c r="H42" s="4" t="n">
        <v>86</v>
      </c>
      <c r="K42" s="4" t="inlineStr">
        <is>
          <t>Александер-Арнольд</t>
        </is>
      </c>
      <c r="L42" s="4" t="inlineStr">
        <is>
          <t>ПЗ</t>
        </is>
      </c>
      <c r="M42" s="4" t="n">
        <v>87</v>
      </c>
      <c r="P42" s="4" t="inlineStr">
        <is>
          <t>Коло Муани</t>
        </is>
      </c>
      <c r="Q42" s="4" t="inlineStr">
        <is>
          <t>ЛФА</t>
        </is>
      </c>
      <c r="R42" s="4" t="n">
        <v>86</v>
      </c>
      <c r="U42" s="4" t="inlineStr">
        <is>
          <t>Сперцян</t>
        </is>
      </c>
      <c r="V42" s="4" t="inlineStr">
        <is>
          <t>ФРВ</t>
        </is>
      </c>
      <c r="W42" s="4" t="n">
        <v>82</v>
      </c>
      <c r="Z42" s="4" t="inlineStr">
        <is>
          <t>Энцо</t>
        </is>
      </c>
      <c r="AA42" s="4" t="inlineStr">
        <is>
          <t>ЦП</t>
        </is>
      </c>
      <c r="AB42" s="4" t="n">
        <v>85</v>
      </c>
      <c r="AE42" s="4" t="inlineStr">
        <is>
          <t>Ван Де Вен</t>
        </is>
      </c>
      <c r="AF42" s="4" t="inlineStr">
        <is>
          <t>ЦЗ</t>
        </is>
      </c>
      <c r="AG42" s="4" t="n">
        <v>82</v>
      </c>
      <c r="AJ42" s="4" t="inlineStr">
        <is>
          <t>Ботман</t>
        </is>
      </c>
      <c r="AK42" s="4" t="inlineStr">
        <is>
          <t>ЦЗ</t>
        </is>
      </c>
      <c r="AL42" s="4" t="n">
        <v>83</v>
      </c>
    </row>
    <row r="43" ht="12" customHeight="1">
      <c r="A43" s="4" t="inlineStr">
        <is>
          <t>Рэшфорд</t>
        </is>
      </c>
      <c r="B43" s="4" t="inlineStr">
        <is>
          <t>ЛФА</t>
        </is>
      </c>
      <c r="C43" s="4" t="n">
        <v>86</v>
      </c>
      <c r="F43" s="4" t="inlineStr">
        <is>
          <t>Брозович</t>
        </is>
      </c>
      <c r="G43" s="4" t="inlineStr">
        <is>
          <t>ЦП</t>
        </is>
      </c>
      <c r="H43" s="4" t="n">
        <v>84</v>
      </c>
      <c r="K43" s="4" t="inlineStr">
        <is>
          <t>Робертсон</t>
        </is>
      </c>
      <c r="L43" s="4" t="inlineStr">
        <is>
          <t>ЛЗ</t>
        </is>
      </c>
      <c r="M43" s="4" t="n">
        <v>87</v>
      </c>
      <c r="P43" s="4" t="inlineStr">
        <is>
          <t>Райс</t>
        </is>
      </c>
      <c r="Q43" s="4" t="inlineStr">
        <is>
          <t>ЦП</t>
        </is>
      </c>
      <c r="R43" s="4" t="n">
        <v>86</v>
      </c>
      <c r="U43" s="4" t="inlineStr">
        <is>
          <t>Тилеманс</t>
        </is>
      </c>
      <c r="V43" s="4" t="inlineStr">
        <is>
          <t>ЦП</t>
        </is>
      </c>
      <c r="W43" s="4" t="n">
        <v>82</v>
      </c>
      <c r="Z43" s="4" t="inlineStr">
        <is>
          <t>Санчез</t>
        </is>
      </c>
      <c r="AA43" s="4" t="inlineStr">
        <is>
          <t>ВРТ</t>
        </is>
      </c>
      <c r="AB43" s="4" t="n">
        <v>84</v>
      </c>
      <c r="AE43" s="4" t="inlineStr">
        <is>
          <t>Ромеро</t>
        </is>
      </c>
      <c r="AF43" s="4" t="inlineStr">
        <is>
          <t>ЦЗ</t>
        </is>
      </c>
      <c r="AG43" s="4" t="n">
        <v>82</v>
      </c>
      <c r="AJ43" s="4" t="inlineStr">
        <is>
          <t>Шар</t>
        </is>
      </c>
      <c r="AK43" s="4" t="inlineStr">
        <is>
          <t>ЦЗ</t>
        </is>
      </c>
      <c r="AL43" s="4" t="n">
        <v>83</v>
      </c>
    </row>
    <row r="44" ht="12" customHeight="1">
      <c r="A44" s="4" t="inlineStr">
        <is>
          <t>Уокер</t>
        </is>
      </c>
      <c r="B44" s="4" t="inlineStr">
        <is>
          <t>ПЗ</t>
        </is>
      </c>
      <c r="C44" s="4" t="n">
        <v>86</v>
      </c>
      <c r="F44" s="4" t="inlineStr">
        <is>
          <t>Марсиаль</t>
        </is>
      </c>
      <c r="G44" s="4" t="inlineStr">
        <is>
          <t>ФРВ</t>
        </is>
      </c>
      <c r="H44" s="4" t="n">
        <v>84</v>
      </c>
      <c r="K44" s="4" t="inlineStr">
        <is>
          <t>Конате</t>
        </is>
      </c>
      <c r="L44" s="4" t="inlineStr">
        <is>
          <t>ЦЗ</t>
        </is>
      </c>
      <c r="M44" s="4" t="n">
        <v>86</v>
      </c>
      <c r="P44" s="4" t="inlineStr">
        <is>
          <t>Габриэль Жезус</t>
        </is>
      </c>
      <c r="Q44" s="4" t="inlineStr">
        <is>
          <t>ПФА</t>
        </is>
      </c>
      <c r="R44" s="4" t="n">
        <v>85</v>
      </c>
      <c r="U44" s="4" t="inlineStr">
        <is>
          <t>Конса</t>
        </is>
      </c>
      <c r="V44" s="4" t="inlineStr">
        <is>
          <t>ЛЗ</t>
        </is>
      </c>
      <c r="W44" s="4" t="n">
        <v>80</v>
      </c>
      <c r="Z44" s="4" t="inlineStr">
        <is>
          <t>Фекир</t>
        </is>
      </c>
      <c r="AA44" s="4" t="inlineStr">
        <is>
          <t>ЦАП</t>
        </is>
      </c>
      <c r="AB44" s="4" t="n">
        <v>84</v>
      </c>
      <c r="AE44" s="4" t="inlineStr">
        <is>
          <t>Викарио</t>
        </is>
      </c>
      <c r="AF44" s="4" t="inlineStr">
        <is>
          <t>ВРТ</t>
        </is>
      </c>
      <c r="AG44" s="4" t="n">
        <v>81</v>
      </c>
      <c r="AJ44" s="4" t="inlineStr">
        <is>
          <t>Уиллок</t>
        </is>
      </c>
      <c r="AK44" s="4" t="inlineStr">
        <is>
          <t>ЦП</t>
        </is>
      </c>
      <c r="AL44" s="4" t="n">
        <v>82</v>
      </c>
    </row>
    <row r="45" ht="12" customHeight="1">
      <c r="A45" s="4" t="inlineStr">
        <is>
          <t>Гвардиоль</t>
        </is>
      </c>
      <c r="B45" s="4" t="inlineStr">
        <is>
          <t>ЛЗ</t>
        </is>
      </c>
      <c r="C45" s="4" t="n">
        <v>84</v>
      </c>
      <c r="F45" s="4" t="inlineStr">
        <is>
          <t>Ван-Биссака</t>
        </is>
      </c>
      <c r="G45" s="4" t="inlineStr">
        <is>
          <t>ПЗ</t>
        </is>
      </c>
      <c r="H45" s="4" t="n">
        <v>83</v>
      </c>
      <c r="K45" s="4" t="inlineStr">
        <is>
          <t>Коке</t>
        </is>
      </c>
      <c r="L45" s="4" t="inlineStr">
        <is>
          <t>ЦП</t>
        </is>
      </c>
      <c r="M45" s="4" t="n">
        <v>85</v>
      </c>
      <c r="P45" s="4" t="inlineStr">
        <is>
          <t>Тимбер</t>
        </is>
      </c>
      <c r="Q45" s="4" t="inlineStr">
        <is>
          <t>ПЗ</t>
        </is>
      </c>
      <c r="R45" s="4" t="n">
        <v>85</v>
      </c>
      <c r="U45" s="4" t="inlineStr">
        <is>
          <t>Морено</t>
        </is>
      </c>
      <c r="V45" s="4" t="inlineStr">
        <is>
          <t>ЛЗ</t>
        </is>
      </c>
      <c r="W45" s="4" t="n">
        <v>80</v>
      </c>
      <c r="Z45" s="4" t="inlineStr">
        <is>
          <t>Галлагер</t>
        </is>
      </c>
      <c r="AA45" s="4" t="inlineStr">
        <is>
          <t>ЦП</t>
        </is>
      </c>
      <c r="AB45" s="4" t="n">
        <v>80</v>
      </c>
      <c r="AE45" s="4" t="inlineStr">
        <is>
          <t>Порро</t>
        </is>
      </c>
      <c r="AF45" s="4" t="inlineStr">
        <is>
          <t>ПЗ</t>
        </is>
      </c>
      <c r="AG45" s="4" t="n">
        <v>81</v>
      </c>
      <c r="AJ45" s="4" t="inlineStr">
        <is>
          <t>Коне</t>
        </is>
      </c>
      <c r="AK45" s="4" t="inlineStr">
        <is>
          <t>ЦП</t>
        </is>
      </c>
      <c r="AL45" s="4" t="n">
        <v>79</v>
      </c>
    </row>
    <row r="46" ht="12" customHeight="1">
      <c r="A46" s="4" t="inlineStr">
        <is>
          <t>Стоунз</t>
        </is>
      </c>
      <c r="B46" s="4" t="inlineStr">
        <is>
          <t>ЦЗ</t>
        </is>
      </c>
      <c r="C46" s="4" t="n">
        <v>84</v>
      </c>
      <c r="F46" s="4" t="inlineStr">
        <is>
          <t>Хименес</t>
        </is>
      </c>
      <c r="G46" s="4" t="inlineStr">
        <is>
          <t>ЦЗ</t>
        </is>
      </c>
      <c r="H46" s="4" t="n">
        <v>83</v>
      </c>
      <c r="K46" s="4" t="inlineStr">
        <is>
          <t>Собослай</t>
        </is>
      </c>
      <c r="L46" s="4" t="inlineStr">
        <is>
          <t>ЦАП</t>
        </is>
      </c>
      <c r="M46" s="4" t="n">
        <v>84</v>
      </c>
      <c r="P46" s="4" t="inlineStr">
        <is>
          <t>Рамсдейл</t>
        </is>
      </c>
      <c r="Q46" s="4" t="inlineStr">
        <is>
          <t>ВРТ</t>
        </is>
      </c>
      <c r="R46" s="4" t="n">
        <v>84</v>
      </c>
      <c r="U46" s="4" t="inlineStr">
        <is>
          <t>Тодибо</t>
        </is>
      </c>
      <c r="V46" s="4" t="inlineStr">
        <is>
          <t>ЦЗ</t>
        </is>
      </c>
      <c r="W46" s="4" t="n">
        <v>80</v>
      </c>
      <c r="Z46" s="4" t="inlineStr">
        <is>
          <t>Маатсен</t>
        </is>
      </c>
      <c r="AA46" s="4" t="inlineStr">
        <is>
          <t>ЛЗ</t>
        </is>
      </c>
      <c r="AB46" s="4" t="n">
        <v>80</v>
      </c>
      <c r="AE46" s="4" t="inlineStr">
        <is>
          <t>Хулиан Альварез</t>
        </is>
      </c>
      <c r="AF46" s="4" t="inlineStr">
        <is>
          <t>ФРВ</t>
        </is>
      </c>
      <c r="AG46" s="4" t="n">
        <v>81</v>
      </c>
      <c r="AJ46" s="4" t="inlineStr">
        <is>
          <t>Перейра</t>
        </is>
      </c>
      <c r="AK46" s="4" t="inlineStr">
        <is>
          <t>ЦАП</t>
        </is>
      </c>
      <c r="AL46" s="4" t="n">
        <v>78</v>
      </c>
    </row>
    <row r="47" ht="12" customHeight="1">
      <c r="A47" s="4" t="inlineStr">
        <is>
          <t>Палинья</t>
        </is>
      </c>
      <c r="B47" s="4" t="inlineStr">
        <is>
          <t>ЦП</t>
        </is>
      </c>
      <c r="C47" s="4" t="n">
        <v>83</v>
      </c>
      <c r="F47" s="4" t="inlineStr">
        <is>
          <t>Маласия</t>
        </is>
      </c>
      <c r="G47" s="4" t="inlineStr">
        <is>
          <t>ЛЗ</t>
        </is>
      </c>
      <c r="H47" s="4" t="n">
        <v>82</v>
      </c>
      <c r="K47" s="4" t="inlineStr">
        <is>
          <t>Гравенберх</t>
        </is>
      </c>
      <c r="L47" s="4" t="inlineStr">
        <is>
          <t>ЦП</t>
        </is>
      </c>
      <c r="M47" s="4" t="n">
        <v>82</v>
      </c>
      <c r="P47" s="4" t="inlineStr">
        <is>
          <t>Акунья</t>
        </is>
      </c>
      <c r="Q47" s="4" t="inlineStr">
        <is>
          <t>ЛЗ</t>
        </is>
      </c>
      <c r="R47" s="4" t="n">
        <v>83</v>
      </c>
      <c r="U47" s="4" t="inlineStr">
        <is>
          <t>Ровелла</t>
        </is>
      </c>
      <c r="V47" s="4" t="inlineStr">
        <is>
          <t>ЦП</t>
        </is>
      </c>
      <c r="W47" s="4" t="n">
        <v>79</v>
      </c>
      <c r="Z47" s="4" t="inlineStr">
        <is>
          <t>Гюсто</t>
        </is>
      </c>
      <c r="AA47" s="4" t="inlineStr">
        <is>
          <t>ПЗ</t>
        </is>
      </c>
      <c r="AB47" s="4" t="n">
        <v>79</v>
      </c>
      <c r="AE47" s="4" t="inlineStr">
        <is>
          <t>Куадрадо</t>
        </is>
      </c>
      <c r="AF47" s="4" t="inlineStr">
        <is>
          <t>ПФА</t>
        </is>
      </c>
      <c r="AG47" s="4" t="n">
        <v>79</v>
      </c>
      <c r="AJ47" s="4" t="inlineStr">
        <is>
          <t>Эспино</t>
        </is>
      </c>
      <c r="AK47" s="4" t="inlineStr">
        <is>
          <t>ЛЗ</t>
        </is>
      </c>
      <c r="AL47" s="4" t="n">
        <v>78</v>
      </c>
    </row>
    <row r="48" ht="12" customHeight="1">
      <c r="A48" s="4" t="inlineStr">
        <is>
          <t>Эдерсон</t>
        </is>
      </c>
      <c r="B48" s="4" t="inlineStr">
        <is>
          <t>ВРТ</t>
        </is>
      </c>
      <c r="C48" s="4" t="n">
        <v>80</v>
      </c>
      <c r="F48" s="4" t="inlineStr">
        <is>
          <t>Нуньес</t>
        </is>
      </c>
      <c r="G48" s="4" t="inlineStr">
        <is>
          <t>ФРВ</t>
        </is>
      </c>
      <c r="H48" s="4" t="n">
        <v>82</v>
      </c>
      <c r="K48" s="4" t="inlineStr">
        <is>
          <t>Олисе</t>
        </is>
      </c>
      <c r="L48" s="4" t="inlineStr">
        <is>
          <t>ПФА</t>
        </is>
      </c>
      <c r="M48" s="4" t="n">
        <v>80</v>
      </c>
      <c r="P48" s="4" t="inlineStr">
        <is>
          <t>Диаш</t>
        </is>
      </c>
      <c r="Q48" s="4" t="inlineStr">
        <is>
          <t>ЦЗ</t>
        </is>
      </c>
      <c r="R48" s="4" t="n">
        <v>82</v>
      </c>
      <c r="U48" s="4" t="inlineStr">
        <is>
          <t>Рэмзи</t>
        </is>
      </c>
      <c r="V48" s="4" t="inlineStr">
        <is>
          <t>ЦАП</t>
        </is>
      </c>
      <c r="W48" s="4" t="n">
        <v>74</v>
      </c>
      <c r="Z48" s="4" t="inlineStr">
        <is>
          <t>Мадуэке</t>
        </is>
      </c>
      <c r="AA48" s="4" t="inlineStr">
        <is>
          <t>ПФА</t>
        </is>
      </c>
      <c r="AB48" s="4" t="n">
        <v>78</v>
      </c>
      <c r="AE48" s="4" t="inlineStr">
        <is>
          <t>Сантос</t>
        </is>
      </c>
      <c r="AF48" s="4" t="inlineStr">
        <is>
          <t>ЛЗ</t>
        </is>
      </c>
      <c r="AG48" s="4" t="n">
        <v>79</v>
      </c>
      <c r="AJ48" s="4" t="inlineStr">
        <is>
          <t>Хараслин</t>
        </is>
      </c>
      <c r="AK48" s="4" t="inlineStr">
        <is>
          <t>ПФА</t>
        </is>
      </c>
      <c r="AL48" s="4" t="n">
        <v>77</v>
      </c>
    </row>
    <row r="49" ht="12" customHeight="1">
      <c r="B49" s="3" t="inlineStr">
        <is>
          <t>запас</t>
        </is>
      </c>
      <c r="G49" s="3" t="inlineStr">
        <is>
          <t>запас</t>
        </is>
      </c>
      <c r="L49" s="3" t="inlineStr">
        <is>
          <t>запас</t>
        </is>
      </c>
      <c r="Q49" s="3" t="inlineStr">
        <is>
          <t>запас</t>
        </is>
      </c>
      <c r="V49" s="3" t="inlineStr">
        <is>
          <t>запас</t>
        </is>
      </c>
      <c r="AA49" s="3" t="inlineStr">
        <is>
          <t>запас</t>
        </is>
      </c>
      <c r="AF49" s="3" t="inlineStr">
        <is>
          <t>запас</t>
        </is>
      </c>
      <c r="AK49" s="3" t="inlineStr">
        <is>
          <t>запас</t>
        </is>
      </c>
    </row>
    <row r="50" ht="12" customHeight="1">
      <c r="A50" s="4" t="inlineStr">
        <is>
          <t>Ковачич</t>
        </is>
      </c>
      <c r="B50" s="4" t="inlineStr">
        <is>
          <t>ЦП</t>
        </is>
      </c>
      <c r="C50" s="4" t="n">
        <v>85</v>
      </c>
      <c r="F50" s="4" t="inlineStr">
        <is>
          <t>Лисандро Мартинез</t>
        </is>
      </c>
      <c r="G50" s="4" t="inlineStr">
        <is>
          <t>ЦЗ</t>
        </is>
      </c>
      <c r="H50" s="4" t="n">
        <v>86</v>
      </c>
      <c r="K50" s="4" t="inlineStr">
        <is>
          <t>Модрич</t>
        </is>
      </c>
      <c r="L50" s="4" t="inlineStr">
        <is>
          <t>ЦП</t>
        </is>
      </c>
      <c r="M50" s="4" t="n">
        <v>84</v>
      </c>
      <c r="P50" s="4" t="inlineStr">
        <is>
          <t>Канте</t>
        </is>
      </c>
      <c r="Q50" s="4" t="inlineStr">
        <is>
          <t>ЦОП</t>
        </is>
      </c>
      <c r="R50" s="4" t="n">
        <v>84</v>
      </c>
      <c r="U50" s="4" t="inlineStr">
        <is>
          <t>Виртц</t>
        </is>
      </c>
      <c r="V50" s="4" t="inlineStr">
        <is>
          <t>ЦАП</t>
        </is>
      </c>
      <c r="W50" s="4" t="n">
        <v>80</v>
      </c>
      <c r="Z50" s="4" t="inlineStr">
        <is>
          <t>Мамардашвили</t>
        </is>
      </c>
      <c r="AA50" s="4" t="inlineStr">
        <is>
          <t>ВРТ</t>
        </is>
      </c>
      <c r="AB50" s="4" t="n">
        <v>82</v>
      </c>
      <c r="AE50" s="4" t="inlineStr">
        <is>
          <t>Диа</t>
        </is>
      </c>
      <c r="AF50" s="4" t="inlineStr">
        <is>
          <t>ФРВ</t>
        </is>
      </c>
      <c r="AG50" s="4" t="n">
        <v>82</v>
      </c>
      <c r="AJ50" s="4" t="inlineStr">
        <is>
          <t>Тюрам</t>
        </is>
      </c>
      <c r="AK50" s="4" t="inlineStr">
        <is>
          <t>ФРВ</t>
        </is>
      </c>
      <c r="AL50" s="4" t="n">
        <v>82</v>
      </c>
    </row>
    <row r="51" ht="12" customHeight="1">
      <c r="A51" s="4" t="inlineStr">
        <is>
          <t>Фоден</t>
        </is>
      </c>
      <c r="B51" s="4" t="inlineStr">
        <is>
          <t>ЦАП</t>
        </is>
      </c>
      <c r="C51" s="4" t="n">
        <v>84</v>
      </c>
      <c r="F51" s="4" t="inlineStr">
        <is>
          <t>Варан</t>
        </is>
      </c>
      <c r="G51" s="4" t="inlineStr">
        <is>
          <t>ЦЗ</t>
        </is>
      </c>
      <c r="H51" s="4" t="n">
        <v>84</v>
      </c>
      <c r="K51" s="4" t="inlineStr">
        <is>
          <t>Диас</t>
        </is>
      </c>
      <c r="L51" s="4" t="inlineStr">
        <is>
          <t>ЛФА</t>
        </is>
      </c>
      <c r="M51" s="4" t="n">
        <v>82</v>
      </c>
      <c r="P51" s="4" t="inlineStr">
        <is>
          <t>Кондогбия</t>
        </is>
      </c>
      <c r="Q51" s="4" t="inlineStr">
        <is>
          <t>ЦЗ</t>
        </is>
      </c>
      <c r="R51" s="4" t="n">
        <v>82</v>
      </c>
      <c r="U51" s="4" t="inlineStr">
        <is>
          <t>Дуглас Луис</t>
        </is>
      </c>
      <c r="V51" s="4" t="inlineStr">
        <is>
          <t>ЦП</t>
        </is>
      </c>
      <c r="W51" s="4" t="n">
        <v>80</v>
      </c>
      <c r="Z51" s="4" t="inlineStr">
        <is>
          <t>Угарте</t>
        </is>
      </c>
      <c r="AA51" s="4" t="inlineStr">
        <is>
          <t>ЦП</t>
        </is>
      </c>
      <c r="AB51" s="4" t="n">
        <v>81</v>
      </c>
      <c r="AE51" s="4" t="inlineStr">
        <is>
          <t>Кудус</t>
        </is>
      </c>
      <c r="AF51" s="4" t="inlineStr">
        <is>
          <t>ПФА</t>
        </is>
      </c>
      <c r="AG51" s="4" t="n">
        <v>81</v>
      </c>
      <c r="AJ51" s="4" t="inlineStr">
        <is>
          <t>Поуп</t>
        </is>
      </c>
      <c r="AK51" s="4" t="inlineStr">
        <is>
          <t>ВРТ</t>
        </is>
      </c>
      <c r="AL51" s="4" t="n">
        <v>81</v>
      </c>
    </row>
    <row r="52" ht="12" customHeight="1">
      <c r="A52" s="4" t="inlineStr">
        <is>
          <t>Аканжи</t>
        </is>
      </c>
      <c r="B52" s="4" t="inlineStr">
        <is>
          <t>ЦЗ</t>
        </is>
      </c>
      <c r="C52" s="4" t="n">
        <v>82</v>
      </c>
      <c r="F52" s="4" t="inlineStr">
        <is>
          <t>Шоу</t>
        </is>
      </c>
      <c r="G52" s="4" t="inlineStr">
        <is>
          <t>ЛЗ</t>
        </is>
      </c>
      <c r="H52" s="4" t="n">
        <v>83</v>
      </c>
      <c r="K52" s="4" t="inlineStr">
        <is>
          <t>Кошта</t>
        </is>
      </c>
      <c r="L52" s="4" t="inlineStr">
        <is>
          <t>ВРТ</t>
        </is>
      </c>
      <c r="M52" s="4" t="n">
        <v>82</v>
      </c>
      <c r="P52" s="4" t="inlineStr">
        <is>
          <t>Альмирон</t>
        </is>
      </c>
      <c r="Q52" s="4" t="inlineStr">
        <is>
          <t>ПФА</t>
        </is>
      </c>
      <c r="R52" s="4" t="n">
        <v>81</v>
      </c>
      <c r="U52" s="4" t="inlineStr">
        <is>
          <t>Эндо</t>
        </is>
      </c>
      <c r="V52" s="4" t="inlineStr">
        <is>
          <t>ЦП</t>
        </is>
      </c>
      <c r="W52" s="4" t="n">
        <v>80</v>
      </c>
      <c r="Z52" s="4" t="inlineStr">
        <is>
          <t>Кайседо</t>
        </is>
      </c>
      <c r="AA52" s="4" t="inlineStr">
        <is>
          <t>ЦОП</t>
        </is>
      </c>
      <c r="AB52" s="4" t="n">
        <v>80</v>
      </c>
      <c r="AE52" s="4" t="inlineStr">
        <is>
          <t>Лопеш</t>
        </is>
      </c>
      <c r="AF52" s="4" t="inlineStr">
        <is>
          <t>ВРТ</t>
        </is>
      </c>
      <c r="AG52" s="4" t="n">
        <v>81</v>
      </c>
      <c r="AJ52" s="4" t="inlineStr">
        <is>
          <t>Аит-Нури</t>
        </is>
      </c>
      <c r="AK52" s="4" t="inlineStr">
        <is>
          <t>ЛЗ</t>
        </is>
      </c>
      <c r="AL52" s="4" t="n">
        <v>80</v>
      </c>
    </row>
    <row r="53" ht="12" customHeight="1">
      <c r="A53" s="4" t="inlineStr">
        <is>
          <t>Аке</t>
        </is>
      </c>
      <c r="B53" s="4" t="inlineStr">
        <is>
          <t>ЦЗ</t>
        </is>
      </c>
      <c r="C53" s="4" t="n">
        <v>81</v>
      </c>
      <c r="F53" s="4" t="inlineStr">
        <is>
          <t>Отавиу</t>
        </is>
      </c>
      <c r="G53" s="4" t="inlineStr">
        <is>
          <t>ЦАП</t>
        </is>
      </c>
      <c r="H53" s="4" t="n">
        <v>82</v>
      </c>
      <c r="K53" s="4" t="inlineStr">
        <is>
          <t>Рабьо</t>
        </is>
      </c>
      <c r="L53" s="4" t="inlineStr">
        <is>
          <t>ЦП</t>
        </is>
      </c>
      <c r="M53" s="4" t="n">
        <v>80</v>
      </c>
      <c r="P53" s="4" t="inlineStr">
        <is>
          <t>Плеа</t>
        </is>
      </c>
      <c r="Q53" s="4" t="inlineStr">
        <is>
          <t>ЦАП</t>
        </is>
      </c>
      <c r="R53" s="4" t="n">
        <v>80</v>
      </c>
      <c r="U53" s="4" t="inlineStr">
        <is>
          <t>Бэйли</t>
        </is>
      </c>
      <c r="V53" s="4" t="inlineStr">
        <is>
          <t>ФРВ</t>
        </is>
      </c>
      <c r="W53" s="4" t="n">
        <v>79</v>
      </c>
      <c r="Z53" s="4" t="inlineStr">
        <is>
          <t>Бадиашиле</t>
        </is>
      </c>
      <c r="AA53" s="4" t="inlineStr">
        <is>
          <t>ЦЗ</t>
        </is>
      </c>
      <c r="AB53" s="4" t="n">
        <v>78</v>
      </c>
      <c r="AE53" s="4" t="inlineStr">
        <is>
          <t>Перишич</t>
        </is>
      </c>
      <c r="AF53" s="4" t="inlineStr">
        <is>
          <t>ЦП</t>
        </is>
      </c>
      <c r="AG53" s="4" t="n">
        <v>81</v>
      </c>
      <c r="AJ53" s="4" t="inlineStr">
        <is>
          <t>Мавропанос</t>
        </is>
      </c>
      <c r="AK53" s="4" t="inlineStr">
        <is>
          <t>ЦЗ</t>
        </is>
      </c>
      <c r="AL53" s="4" t="n">
        <v>78</v>
      </c>
    </row>
    <row r="54" ht="12" customHeight="1">
      <c r="A54" s="4" t="inlineStr">
        <is>
          <t>Самба</t>
        </is>
      </c>
      <c r="B54" s="4" t="inlineStr">
        <is>
          <t>ВРТ</t>
        </is>
      </c>
      <c r="C54" s="4" t="n">
        <v>81</v>
      </c>
      <c r="F54" s="4" t="inlineStr">
        <is>
          <t>Очоа</t>
        </is>
      </c>
      <c r="G54" s="4" t="inlineStr">
        <is>
          <t>ВРТ</t>
        </is>
      </c>
      <c r="H54" s="4" t="n">
        <v>81</v>
      </c>
      <c r="K54" s="4" t="inlineStr">
        <is>
          <t>Джуст</t>
        </is>
      </c>
      <c r="L54" s="4" t="inlineStr">
        <is>
          <t>ЦЗ</t>
        </is>
      </c>
      <c r="M54" s="4" t="n">
        <v>77</v>
      </c>
      <c r="P54" s="4" t="inlineStr">
        <is>
          <t>Райа</t>
        </is>
      </c>
      <c r="Q54" s="4" t="inlineStr">
        <is>
          <t>ВРТ</t>
        </is>
      </c>
      <c r="R54" s="4" t="n">
        <v>80</v>
      </c>
      <c r="U54" s="4" t="inlineStr">
        <is>
          <t>Кэш</t>
        </is>
      </c>
      <c r="V54" s="4" t="inlineStr">
        <is>
          <t>ПЗ</t>
        </is>
      </c>
      <c r="W54" s="4" t="n">
        <v>79</v>
      </c>
      <c r="Z54" s="4" t="inlineStr">
        <is>
          <t>Гринвуд</t>
        </is>
      </c>
      <c r="AA54" s="4" t="inlineStr">
        <is>
          <t>ПФА</t>
        </is>
      </c>
      <c r="AB54" s="4" t="n">
        <v>78</v>
      </c>
      <c r="AE54" s="4" t="inlineStr">
        <is>
          <t>Флорентину</t>
        </is>
      </c>
      <c r="AF54" s="4" t="inlineStr">
        <is>
          <t>ЦЗ</t>
        </is>
      </c>
      <c r="AG54" s="4" t="n">
        <v>80</v>
      </c>
      <c r="AJ54" s="4" t="inlineStr">
        <is>
          <t>Кунья</t>
        </is>
      </c>
      <c r="AK54" s="4" t="inlineStr">
        <is>
          <t>ЦАП</t>
        </is>
      </c>
      <c r="AL54" s="4" t="n">
        <v>76</v>
      </c>
    </row>
    <row r="55" ht="12" customHeight="1">
      <c r="A55" s="4" t="inlineStr">
        <is>
          <t>Барколя</t>
        </is>
      </c>
      <c r="B55" s="4" t="inlineStr">
        <is>
          <t>ЛФА</t>
        </is>
      </c>
      <c r="C55" s="4" t="n">
        <v>80</v>
      </c>
      <c r="F55" s="4" t="inlineStr">
        <is>
          <t>Антони</t>
        </is>
      </c>
      <c r="G55" s="4" t="inlineStr">
        <is>
          <t>ПФА</t>
        </is>
      </c>
      <c r="H55" s="4" t="n">
        <v>79</v>
      </c>
      <c r="K55" s="4" t="inlineStr">
        <is>
          <t>Цимикас</t>
        </is>
      </c>
      <c r="L55" s="4" t="inlineStr">
        <is>
          <t>ЛЗ</t>
        </is>
      </c>
      <c r="M55" s="4" t="n">
        <v>77</v>
      </c>
      <c r="P55" s="4" t="inlineStr">
        <is>
          <t>Томиясу</t>
        </is>
      </c>
      <c r="Q55" s="4" t="inlineStr">
        <is>
          <t>ЦЗ</t>
        </is>
      </c>
      <c r="R55" s="4" t="n">
        <v>80</v>
      </c>
      <c r="U55" s="4" t="inlineStr">
        <is>
          <t>Макгинн</t>
        </is>
      </c>
      <c r="V55" s="4" t="inlineStr">
        <is>
          <t>ЦП</t>
        </is>
      </c>
      <c r="W55" s="4" t="n">
        <v>79</v>
      </c>
      <c r="Z55" s="4" t="inlineStr">
        <is>
          <t>Джексон</t>
        </is>
      </c>
      <c r="AA55" s="4" t="inlineStr">
        <is>
          <t>ФРВ</t>
        </is>
      </c>
      <c r="AB55" s="4" t="n">
        <v>78</v>
      </c>
      <c r="AE55" s="4" t="inlineStr">
        <is>
          <t>Эзе</t>
        </is>
      </c>
      <c r="AF55" s="4" t="inlineStr">
        <is>
          <t>ЦАП</t>
        </is>
      </c>
      <c r="AG55" s="4" t="n">
        <v>80</v>
      </c>
      <c r="AJ55" s="4" t="inlineStr">
        <is>
          <t>Прёмель</t>
        </is>
      </c>
      <c r="AK55" s="4" t="inlineStr">
        <is>
          <t>ЦП</t>
        </is>
      </c>
      <c r="AL55" s="4" t="n">
        <v>76</v>
      </c>
    </row>
    <row r="56" ht="12" customHeight="1">
      <c r="A56" s="4" t="inlineStr">
        <is>
          <t>Нуньес</t>
        </is>
      </c>
      <c r="B56" s="4" t="inlineStr">
        <is>
          <t>ЦП</t>
        </is>
      </c>
      <c r="C56" s="4" t="n">
        <v>79</v>
      </c>
      <c r="F56" s="4" t="inlineStr">
        <is>
          <t>Ришарлисон</t>
        </is>
      </c>
      <c r="G56" s="4" t="inlineStr">
        <is>
          <t>ФРВ</t>
        </is>
      </c>
      <c r="H56" s="4" t="n">
        <v>79</v>
      </c>
      <c r="K56" s="4" t="inlineStr">
        <is>
          <t>Маурис</t>
        </is>
      </c>
      <c r="L56" s="4" t="inlineStr">
        <is>
          <t>ЦП</t>
        </is>
      </c>
      <c r="M56" s="4" t="n">
        <v>75</v>
      </c>
      <c r="P56" s="4" t="inlineStr">
        <is>
          <t>Смит Роу</t>
        </is>
      </c>
      <c r="Q56" s="4" t="inlineStr">
        <is>
          <t>ЛФА</t>
        </is>
      </c>
      <c r="R56" s="4" t="n">
        <v>78</v>
      </c>
      <c r="U56" s="4" t="inlineStr">
        <is>
          <t>Вейга</t>
        </is>
      </c>
      <c r="V56" s="4" t="inlineStr">
        <is>
          <t>ЦАП</t>
        </is>
      </c>
      <c r="W56" s="4" t="n">
        <v>78</v>
      </c>
      <c r="Z56" s="4" t="inlineStr">
        <is>
          <t>Бельерин</t>
        </is>
      </c>
      <c r="AA56" s="4" t="inlineStr">
        <is>
          <t>ПЗ</t>
        </is>
      </c>
      <c r="AB56" s="4" t="n">
        <v>77</v>
      </c>
      <c r="AE56" s="4" t="inlineStr">
        <is>
          <t>Удоджи</t>
        </is>
      </c>
      <c r="AF56" s="4" t="inlineStr">
        <is>
          <t>ЛЗ</t>
        </is>
      </c>
      <c r="AG56" s="4" t="n">
        <v>77</v>
      </c>
      <c r="AJ56" s="4" t="inlineStr">
        <is>
          <t>Гордон</t>
        </is>
      </c>
      <c r="AK56" s="4" t="inlineStr">
        <is>
          <t>ЛФА</t>
        </is>
      </c>
      <c r="AL56" s="4" t="n">
        <v>75</v>
      </c>
    </row>
    <row r="57" ht="12" customHeight="1">
      <c r="B57" s="3" t="inlineStr">
        <is>
          <t>резерв</t>
        </is>
      </c>
      <c r="G57" s="3" t="inlineStr">
        <is>
          <t>резерв</t>
        </is>
      </c>
      <c r="L57" s="3" t="inlineStr">
        <is>
          <t>резерв</t>
        </is>
      </c>
      <c r="Q57" s="3" t="inlineStr">
        <is>
          <t>резерв</t>
        </is>
      </c>
      <c r="V57" s="3" t="inlineStr">
        <is>
          <t>резерв</t>
        </is>
      </c>
      <c r="AA57" s="3" t="inlineStr">
        <is>
          <t>резерв</t>
        </is>
      </c>
      <c r="AF57" s="3" t="inlineStr">
        <is>
          <t>резерв</t>
        </is>
      </c>
      <c r="AK57" s="3" t="inlineStr">
        <is>
          <t>резерв</t>
        </is>
      </c>
    </row>
    <row r="58" ht="12" customHeight="1">
      <c r="A58" s="4" t="inlineStr">
        <is>
          <t>Сильва</t>
        </is>
      </c>
      <c r="B58" s="4" t="inlineStr">
        <is>
          <t>ЦП</t>
        </is>
      </c>
      <c r="C58" s="4" t="n">
        <v>84</v>
      </c>
      <c r="F58" s="4" t="inlineStr">
        <is>
          <t>Амрабат</t>
        </is>
      </c>
      <c r="G58" s="4" t="inlineStr">
        <is>
          <t>ЦП</t>
        </is>
      </c>
      <c r="H58" s="4" t="n">
        <v>80</v>
      </c>
      <c r="K58" s="4" t="inlineStr">
        <is>
          <t>Тьяго</t>
        </is>
      </c>
      <c r="L58" s="4" t="inlineStr">
        <is>
          <t>ЦП</t>
        </is>
      </c>
      <c r="M58" s="4" t="n">
        <v>82</v>
      </c>
      <c r="P58" s="4" t="inlineStr">
        <is>
          <t>Парти</t>
        </is>
      </c>
      <c r="Q58" s="4" t="inlineStr">
        <is>
          <t>ЦОП</t>
        </is>
      </c>
      <c r="R58" s="4" t="n">
        <v>82</v>
      </c>
      <c r="U58" s="4" t="inlineStr">
        <is>
          <t>Буендиа</t>
        </is>
      </c>
      <c r="V58" s="4" t="inlineStr">
        <is>
          <t>ФРВ</t>
        </is>
      </c>
      <c r="W58" s="4" t="n">
        <v>80</v>
      </c>
      <c r="Z58" s="4" t="inlineStr">
        <is>
          <t>Джеко</t>
        </is>
      </c>
      <c r="AA58" s="4" t="inlineStr">
        <is>
          <t>ФРВ</t>
        </is>
      </c>
      <c r="AB58" s="4" t="n">
        <v>83</v>
      </c>
      <c r="AE58" s="4" t="inlineStr">
        <is>
          <t>Ло Чельсо</t>
        </is>
      </c>
      <c r="AF58" s="4" t="inlineStr">
        <is>
          <t>ЦАП</t>
        </is>
      </c>
      <c r="AG58" s="4" t="n">
        <v>81</v>
      </c>
      <c r="AJ58" s="4" t="inlineStr">
        <is>
          <t>Ачерби</t>
        </is>
      </c>
      <c r="AK58" s="4" t="inlineStr">
        <is>
          <t>ЦЗ</t>
        </is>
      </c>
      <c r="AL58" s="4" t="n">
        <v>83</v>
      </c>
    </row>
    <row r="59" ht="12" customHeight="1">
      <c r="A59" s="4" t="inlineStr">
        <is>
          <t>Ортега</t>
        </is>
      </c>
      <c r="B59" s="4" t="inlineStr">
        <is>
          <t>ВРТ</t>
        </is>
      </c>
      <c r="C59" s="4" t="n">
        <v>82</v>
      </c>
      <c r="F59" s="4" t="inlineStr">
        <is>
          <t>Мартинелли</t>
        </is>
      </c>
      <c r="G59" s="4" t="inlineStr">
        <is>
          <t>ФРВ</t>
        </is>
      </c>
      <c r="H59" s="4" t="n">
        <v>80</v>
      </c>
      <c r="K59" s="4" t="inlineStr">
        <is>
          <t>Мюллер</t>
        </is>
      </c>
      <c r="L59" s="4" t="inlineStr">
        <is>
          <t>ЦАП</t>
        </is>
      </c>
      <c r="M59" s="4" t="n">
        <v>81</v>
      </c>
      <c r="P59" s="4" t="inlineStr">
        <is>
          <t>Зинченко</t>
        </is>
      </c>
      <c r="Q59" s="4" t="inlineStr">
        <is>
          <t>ЛЗ</t>
        </is>
      </c>
      <c r="R59" s="4" t="n">
        <v>80</v>
      </c>
      <c r="U59" s="4" t="inlineStr">
        <is>
          <t>Гирасси</t>
        </is>
      </c>
      <c r="V59" s="4" t="inlineStr">
        <is>
          <t>ФРВ</t>
        </is>
      </c>
      <c r="W59" s="4" t="n">
        <v>79</v>
      </c>
      <c r="Z59" s="4" t="inlineStr">
        <is>
          <t>Даньума</t>
        </is>
      </c>
      <c r="AA59" s="4" t="inlineStr">
        <is>
          <t>ПФА</t>
        </is>
      </c>
      <c r="AB59" s="4" t="n">
        <v>81</v>
      </c>
      <c r="AE59" s="4" t="inlineStr">
        <is>
          <t>Роял</t>
        </is>
      </c>
      <c r="AF59" s="4" t="inlineStr">
        <is>
          <t>ПЗ</t>
        </is>
      </c>
      <c r="AG59" s="4" t="n">
        <v>78</v>
      </c>
      <c r="AJ59" s="4" t="inlineStr">
        <is>
          <t>Уилсон</t>
        </is>
      </c>
      <c r="AK59" s="4" t="inlineStr">
        <is>
          <t>ФРВ</t>
        </is>
      </c>
      <c r="AL59" s="4" t="n">
        <v>82</v>
      </c>
    </row>
    <row r="60" ht="12" customHeight="1">
      <c r="A60" s="4" t="inlineStr">
        <is>
          <t>Ванакен</t>
        </is>
      </c>
      <c r="B60" s="4" t="inlineStr">
        <is>
          <t>ЦП</t>
        </is>
      </c>
      <c r="C60" s="4" t="n">
        <v>80</v>
      </c>
      <c r="F60" s="4" t="inlineStr">
        <is>
          <t>Брентвейт</t>
        </is>
      </c>
      <c r="G60" s="4" t="inlineStr">
        <is>
          <t>ЦЗ</t>
        </is>
      </c>
      <c r="H60" s="4" t="n">
        <v>78</v>
      </c>
      <c r="K60" s="4" t="inlineStr">
        <is>
          <t>Матип</t>
        </is>
      </c>
      <c r="L60" s="4" t="inlineStr">
        <is>
          <t>ЦЗ</t>
        </is>
      </c>
      <c r="M60" s="4" t="n">
        <v>80</v>
      </c>
      <c r="P60" s="4" t="inlineStr">
        <is>
          <t>Уайт</t>
        </is>
      </c>
      <c r="Q60" s="4" t="inlineStr">
        <is>
          <t>ПЗ</t>
        </is>
      </c>
      <c r="R60" s="4" t="n">
        <v>80</v>
      </c>
      <c r="U60" s="4" t="inlineStr">
        <is>
          <t>Динь</t>
        </is>
      </c>
      <c r="V60" s="4" t="inlineStr">
        <is>
          <t>ЛЗ</t>
        </is>
      </c>
      <c r="W60" s="4" t="n">
        <v>79</v>
      </c>
      <c r="Z60" s="4" t="inlineStr">
        <is>
          <t>Кукурелья</t>
        </is>
      </c>
      <c r="AA60" s="4" t="inlineStr">
        <is>
          <t>ЛЗ</t>
        </is>
      </c>
      <c r="AB60" s="4" t="n">
        <v>79</v>
      </c>
      <c r="AE60" s="4" t="inlineStr">
        <is>
          <t>Сарабиа</t>
        </is>
      </c>
      <c r="AF60" s="4" t="inlineStr">
        <is>
          <t>ЦАП</t>
        </is>
      </c>
      <c r="AG60" s="4" t="n">
        <v>78</v>
      </c>
      <c r="AJ60" s="4" t="inlineStr">
        <is>
          <t>Бёрн</t>
        </is>
      </c>
      <c r="AK60" s="4" t="inlineStr">
        <is>
          <t>ЦЗ</t>
        </is>
      </c>
      <c r="AL60" s="4" t="n">
        <v>80</v>
      </c>
    </row>
    <row r="61" ht="12" customHeight="1">
      <c r="A61" s="4" t="inlineStr">
        <is>
          <t>Филлипс</t>
        </is>
      </c>
      <c r="B61" s="4" t="inlineStr">
        <is>
          <t>ЦОП</t>
        </is>
      </c>
      <c r="C61" s="4" t="n">
        <v>79</v>
      </c>
      <c r="F61" s="4" t="inlineStr">
        <is>
          <t>Гарначо</t>
        </is>
      </c>
      <c r="G61" s="4" t="inlineStr">
        <is>
          <t>ЛФА</t>
        </is>
      </c>
      <c r="H61" s="4" t="n">
        <v>78</v>
      </c>
      <c r="K61" s="4" t="inlineStr">
        <is>
          <t>Джонс</t>
        </is>
      </c>
      <c r="L61" s="4" t="inlineStr">
        <is>
          <t>ЦП</t>
        </is>
      </c>
      <c r="M61" s="4" t="n">
        <v>77</v>
      </c>
      <c r="P61" s="4" t="inlineStr">
        <is>
          <t>Дукуре</t>
        </is>
      </c>
      <c r="Q61" s="4" t="inlineStr">
        <is>
          <t>ЦП</t>
        </is>
      </c>
      <c r="R61" s="4" t="n">
        <v>77</v>
      </c>
      <c r="U61" s="4" t="inlineStr">
        <is>
          <t>Гехи</t>
        </is>
      </c>
      <c r="V61" s="4" t="inlineStr">
        <is>
          <t>ЦЗ</t>
        </is>
      </c>
      <c r="W61" s="4" t="n">
        <v>78</v>
      </c>
      <c r="Z61" s="4" t="inlineStr">
        <is>
          <t>Ланг</t>
        </is>
      </c>
      <c r="AA61" s="4" t="inlineStr">
        <is>
          <t>ЛФА</t>
        </is>
      </c>
      <c r="AB61" s="4" t="n">
        <v>78</v>
      </c>
      <c r="AE61" s="4" t="inlineStr">
        <is>
          <t>Толои</t>
        </is>
      </c>
      <c r="AF61" s="4" t="inlineStr">
        <is>
          <t>ЦЗ</t>
        </is>
      </c>
      <c r="AG61" s="4" t="n">
        <v>78</v>
      </c>
      <c r="AJ61" s="4" t="inlineStr">
        <is>
          <t>Дубравка</t>
        </is>
      </c>
      <c r="AK61" s="4" t="inlineStr">
        <is>
          <t>ВРТ</t>
        </is>
      </c>
      <c r="AL61" s="4" t="n">
        <v>78</v>
      </c>
    </row>
    <row r="62" ht="12" customHeight="1">
      <c r="A62" s="4" t="inlineStr">
        <is>
          <t>Вандерсон</t>
        </is>
      </c>
      <c r="B62" s="4" t="inlineStr">
        <is>
          <t>ПЗ</t>
        </is>
      </c>
      <c r="C62" s="4" t="n">
        <v>77</v>
      </c>
      <c r="F62" s="4" t="inlineStr">
        <is>
          <t>Пессина</t>
        </is>
      </c>
      <c r="G62" s="4" t="inlineStr">
        <is>
          <t>ЦАП</t>
        </is>
      </c>
      <c r="H62" s="4" t="n">
        <v>78</v>
      </c>
      <c r="K62" s="4" t="inlineStr">
        <is>
          <t>Гомес</t>
        </is>
      </c>
      <c r="L62" s="4" t="inlineStr">
        <is>
          <t>ЦЗ</t>
        </is>
      </c>
      <c r="M62" s="4" t="n">
        <v>75</v>
      </c>
      <c r="P62" s="4" t="inlineStr">
        <is>
          <t>Дамсгаард</t>
        </is>
      </c>
      <c r="Q62" s="4" t="inlineStr">
        <is>
          <t>ЦАП</t>
        </is>
      </c>
      <c r="R62" s="4" t="n">
        <v>76</v>
      </c>
      <c r="U62" s="4" t="inlineStr">
        <is>
          <t>Заниоло</t>
        </is>
      </c>
      <c r="V62" s="4" t="inlineStr">
        <is>
          <t>ФРВ</t>
        </is>
      </c>
      <c r="W62" s="4" t="n">
        <v>77</v>
      </c>
      <c r="Z62" s="4" t="inlineStr">
        <is>
          <t>Морита</t>
        </is>
      </c>
      <c r="AA62" s="4" t="inlineStr">
        <is>
          <t>ЦП</t>
        </is>
      </c>
      <c r="AB62" s="4" t="n">
        <v>78</v>
      </c>
      <c r="AE62" s="4" t="inlineStr">
        <is>
          <t>Билинг</t>
        </is>
      </c>
      <c r="AF62" s="4" t="inlineStr">
        <is>
          <t>ЦП</t>
        </is>
      </c>
      <c r="AG62" s="4" t="n">
        <v>77</v>
      </c>
      <c r="AJ62" s="4" t="inlineStr">
        <is>
          <t>Лонгстаф</t>
        </is>
      </c>
      <c r="AK62" s="4" t="inlineStr">
        <is>
          <t>ЦП</t>
        </is>
      </c>
      <c r="AL62" s="4" t="n">
        <v>78</v>
      </c>
    </row>
    <row r="63" ht="12" customHeight="1">
      <c r="A63" s="4" t="inlineStr">
        <is>
          <t>Брайда</t>
        </is>
      </c>
      <c r="B63" s="4" t="inlineStr">
        <is>
          <t>ЛЗ</t>
        </is>
      </c>
      <c r="C63" s="4" t="n">
        <v>76</v>
      </c>
      <c r="F63" s="4" t="inlineStr">
        <is>
          <t>Диалло</t>
        </is>
      </c>
      <c r="G63" s="4" t="inlineStr">
        <is>
          <t>ПФА</t>
        </is>
      </c>
      <c r="H63" s="4" t="n">
        <v>76</v>
      </c>
      <c r="K63" s="4" t="inlineStr">
        <is>
          <t>Браганса</t>
        </is>
      </c>
      <c r="L63" s="4" t="inlineStr">
        <is>
          <t>ЦП</t>
        </is>
      </c>
      <c r="M63" s="4" t="n">
        <v>74</v>
      </c>
      <c r="P63" s="4" t="inlineStr">
        <is>
          <t>Кирех</t>
        </is>
      </c>
      <c r="Q63" s="4" t="inlineStr">
        <is>
          <t>ЦАП</t>
        </is>
      </c>
      <c r="R63" s="4" t="n">
        <v>75</v>
      </c>
      <c r="U63" s="4" t="inlineStr">
        <is>
          <t>Ленглет</t>
        </is>
      </c>
      <c r="V63" s="4" t="inlineStr">
        <is>
          <t>ЦЗ</t>
        </is>
      </c>
      <c r="W63" s="4" t="n">
        <v>77</v>
      </c>
      <c r="Z63" s="4" t="inlineStr">
        <is>
          <t>Игорь</t>
        </is>
      </c>
      <c r="AA63" s="4" t="inlineStr">
        <is>
          <t>ЦЗ</t>
        </is>
      </c>
      <c r="AB63" s="4" t="n">
        <v>77</v>
      </c>
      <c r="AE63" s="4" t="inlineStr">
        <is>
          <t>Сессеньон</t>
        </is>
      </c>
      <c r="AF63" s="4" t="inlineStr">
        <is>
          <t>ЛЗ</t>
        </is>
      </c>
      <c r="AG63" s="4" t="n">
        <v>75</v>
      </c>
      <c r="AJ63" s="4" t="inlineStr">
        <is>
          <t>Ливраменто</t>
        </is>
      </c>
      <c r="AK63" s="4" t="inlineStr">
        <is>
          <t>ЛЗ</t>
        </is>
      </c>
      <c r="AL63" s="4" t="n">
        <v>77</v>
      </c>
    </row>
    <row r="64" ht="12" customHeight="1">
      <c r="A64" s="4" t="inlineStr">
        <is>
          <t>Одои</t>
        </is>
      </c>
      <c r="B64" s="4" t="inlineStr">
        <is>
          <t>ЛФА</t>
        </is>
      </c>
      <c r="C64" s="4" t="n">
        <v>75</v>
      </c>
      <c r="F64" s="4" t="inlineStr">
        <is>
          <t>Эрик Санчес</t>
        </is>
      </c>
      <c r="G64" s="4" t="inlineStr">
        <is>
          <t>ЦП</t>
        </is>
      </c>
      <c r="H64" s="4" t="n">
        <v>76</v>
      </c>
      <c r="K64" s="4" t="inlineStr">
        <is>
          <t>Микаутадзе</t>
        </is>
      </c>
      <c r="L64" s="4" t="inlineStr">
        <is>
          <t>ФРВ</t>
        </is>
      </c>
      <c r="M64" s="4" t="n">
        <v>74</v>
      </c>
      <c r="P64" s="4" t="inlineStr">
        <is>
          <t>Соланко</t>
        </is>
      </c>
      <c r="Q64" s="4" t="inlineStr">
        <is>
          <t>ФРВ</t>
        </is>
      </c>
      <c r="R64" s="4" t="n">
        <v>75</v>
      </c>
      <c r="U64" s="4" t="inlineStr">
        <is>
          <t>Акпом</t>
        </is>
      </c>
      <c r="V64" s="4" t="inlineStr">
        <is>
          <t>ФРВ</t>
        </is>
      </c>
      <c r="W64" s="4" t="n">
        <v>76</v>
      </c>
      <c r="Z64" s="4" t="inlineStr">
        <is>
          <t>Чалоба</t>
        </is>
      </c>
      <c r="AA64" s="4" t="inlineStr">
        <is>
          <t>ЦЗ</t>
        </is>
      </c>
      <c r="AB64" s="4" t="n">
        <v>76</v>
      </c>
      <c r="AE64" s="4" t="inlineStr">
        <is>
          <t>Диуф</t>
        </is>
      </c>
      <c r="AF64" s="4" t="inlineStr">
        <is>
          <t>ЦП</t>
        </is>
      </c>
      <c r="AG64" s="4" t="n">
        <v>74</v>
      </c>
      <c r="AJ64" s="4" t="inlineStr">
        <is>
          <t>Колпани</t>
        </is>
      </c>
      <c r="AK64" s="4" t="inlineStr">
        <is>
          <t>ЦП</t>
        </is>
      </c>
      <c r="AL64" s="4" t="n">
        <v>74</v>
      </c>
    </row>
    <row r="65" ht="12" customHeight="1">
      <c r="A65" s="4" t="n"/>
      <c r="B65" s="4" t="n"/>
      <c r="C65" s="4" t="n"/>
      <c r="F65" s="4" t="n"/>
      <c r="G65" s="4" t="n"/>
      <c r="H65" s="4" t="n"/>
      <c r="K65" s="4" t="n"/>
      <c r="L65" s="4" t="n"/>
      <c r="M65" s="4" t="n"/>
      <c r="P65" s="4" t="n"/>
      <c r="Q65" s="4" t="n"/>
      <c r="R65" s="4" t="n"/>
      <c r="U65" s="4" t="inlineStr">
        <is>
          <t>Траоре</t>
        </is>
      </c>
      <c r="V65" s="4" t="inlineStr">
        <is>
          <t>ПФА</t>
        </is>
      </c>
      <c r="W65" s="4" t="n">
        <v>75</v>
      </c>
      <c r="Z65" s="4" t="n"/>
      <c r="AA65" s="4" t="n"/>
      <c r="AB65" s="4" t="n"/>
      <c r="AE65" s="4" t="inlineStr">
        <is>
          <t>Семеньо</t>
        </is>
      </c>
      <c r="AF65" s="4" t="inlineStr">
        <is>
          <t>ФРВ</t>
        </is>
      </c>
      <c r="AG65" s="4" t="n">
        <v>70</v>
      </c>
      <c r="AJ65" s="4" t="n"/>
      <c r="AK65" s="4" t="n"/>
      <c r="AL65" s="4" t="n"/>
    </row>
    <row r="66" ht="12" customHeight="1">
      <c r="A66" s="4" t="n"/>
      <c r="B66" s="4" t="n"/>
      <c r="C66" s="4" t="n"/>
      <c r="F66" s="4" t="n"/>
      <c r="G66" s="4" t="n"/>
      <c r="H66" s="4" t="n"/>
      <c r="K66" s="4" t="n"/>
      <c r="L66" s="4" t="n"/>
      <c r="M66" s="4" t="n"/>
      <c r="P66" s="4" t="n"/>
      <c r="Q66" s="4" t="n"/>
      <c r="R66" s="4" t="n"/>
      <c r="U66" s="4" t="inlineStr">
        <is>
          <t>Хато</t>
        </is>
      </c>
      <c r="V66" s="4" t="inlineStr">
        <is>
          <t>ЦЗ</t>
        </is>
      </c>
      <c r="W66" s="4" t="n">
        <v>73</v>
      </c>
      <c r="Z66" s="4" t="n"/>
      <c r="AA66" s="4" t="n"/>
      <c r="AB66" s="4" t="n"/>
      <c r="AE66" s="4" t="n"/>
      <c r="AF66" s="4" t="n"/>
      <c r="AG66" s="4" t="n"/>
      <c r="AJ66" s="4" t="n"/>
      <c r="AK66" s="4" t="n"/>
      <c r="AL66" s="4" t="n"/>
    </row>
    <row r="67" ht="12" customHeight="1"/>
    <row r="68" ht="12" customHeight="1"/>
    <row r="69" ht="12" customHeight="1">
      <c r="A69" s="2">
        <f>"Реал "&amp;MIN(5,SUMPRODUCT((LEN(A$71:A$99)&gt;0)*(ISERROR(MATCH(A$71:A$99,_orig!$Q$2:$Q$26,0)))))&amp;"/5 IN "&amp;MIN(5,SUMPRODUCT((LEN(_orig!$Q$2:$Q$26)&gt;0)*(ISERROR(MATCH(_orig!$Q$2:$Q$26,A$71:A$99,0)))))&amp;"/5 OUT"</f>
        <v/>
      </c>
      <c r="F69" s="2">
        <f>"Барселона "&amp;MIN(5,SUMPRODUCT((LEN(F$71:F$99)&gt;0)*(ISERROR(MATCH(F$71:F$99,_orig!$R$2:$R$26,0)))))&amp;"/5 IN "&amp;MIN(5,SUMPRODUCT((LEN(_orig!$R$2:$R$26)&gt;0)*(ISERROR(MATCH(_orig!$R$2:$R$26,F$71:F$99,0)))))&amp;"/5 OUT"</f>
        <v/>
      </c>
      <c r="K69" s="2">
        <f>"Атлетико "&amp;MIN(5,SUMPRODUCT((LEN(K$71:K$99)&gt;0)*(ISERROR(MATCH(K$71:K$99,_orig!$S$2:$S$26,0)))))&amp;"/5 IN "&amp;MIN(5,SUMPRODUCT((LEN(_orig!$S$2:$S$26)&gt;0)*(ISERROR(MATCH(_orig!$S$2:$S$26,K$71:K$99,0)))))&amp;"/5 OUT"</f>
        <v/>
      </c>
      <c r="P69" s="2">
        <f>"Атлетик "&amp;MIN(5,SUMPRODUCT((LEN(P$71:P$99)&gt;0)*(ISERROR(MATCH(P$71:P$99,_orig!$T$2:$T$26,0)))))&amp;"/5 IN "&amp;MIN(5,SUMPRODUCT((LEN(_orig!$T$2:$T$26)&gt;0)*(ISERROR(MATCH(_orig!$T$2:$T$26,P$71:P$99,0)))))&amp;"/5 OUT"</f>
        <v/>
      </c>
      <c r="U69" s="2">
        <f>"Реал Сосьедад "&amp;MIN(5,SUMPRODUCT((LEN(U$71:U$99)&gt;0)*(ISERROR(MATCH(U$71:U$99,_orig!$U$2:$U$25,0)))))&amp;"/5 IN "&amp;MIN(5,SUMPRODUCT((LEN(_orig!$U$2:$U$25)&gt;0)*(ISERROR(MATCH(_orig!$U$2:$U$25,U$71:U$99,0)))))&amp;"/5 OUT"</f>
        <v/>
      </c>
      <c r="Z69" s="2">
        <f>"Севилья "&amp;MIN(5,SUMPRODUCT((LEN(Z$71:Z$99)&gt;0)*(ISERROR(MATCH(Z$71:Z$99,_orig!$V$2:$V$25,0)))))&amp;"/5 IN "&amp;MIN(5,SUMPRODUCT((LEN(_orig!$V$2:$V$25)&gt;0)*(ISERROR(MATCH(_orig!$V$2:$V$25,Z$71:Z$99,0)))))&amp;"/5 OUT"</f>
        <v/>
      </c>
      <c r="AE69" s="2">
        <f>"Жирона "&amp;MIN(5,SUMPRODUCT((LEN(AE$71:AE$99)&gt;0)*(ISERROR(MATCH(AE$71:AE$99,_orig!$W$2:$W$25,0)))))&amp;"/5 IN "&amp;MIN(5,SUMPRODUCT((LEN(_orig!$W$2:$W$25)&gt;0)*(ISERROR(MATCH(_orig!$W$2:$W$25,AE$71:AE$99,0)))))&amp;"/5 OUT"</f>
        <v/>
      </c>
      <c r="AJ69" s="2">
        <f>"Бетис "&amp;MIN(5,SUMPRODUCT((LEN(AJ$71:AJ$99)&gt;0)*(ISERROR(MATCH(AJ$71:AJ$99,_orig!$X$2:$X$25,0)))))&amp;"/5 IN "&amp;MIN(5,SUMPRODUCT((LEN(_orig!$X$2:$X$25)&gt;0)*(ISERROR(MATCH(_orig!$X$2:$X$25,AJ$71:AJ$99,0)))))&amp;"/5 OUT"</f>
        <v/>
      </c>
    </row>
    <row r="70" ht="12" customHeight="1">
      <c r="B70" s="3" t="inlineStr">
        <is>
          <t>старт</t>
        </is>
      </c>
      <c r="G70" s="3" t="inlineStr">
        <is>
          <t>старт</t>
        </is>
      </c>
      <c r="L70" s="3" t="inlineStr">
        <is>
          <t>старт</t>
        </is>
      </c>
      <c r="Q70" s="3" t="inlineStr">
        <is>
          <t>старт</t>
        </is>
      </c>
      <c r="V70" s="3" t="inlineStr">
        <is>
          <t>старт</t>
        </is>
      </c>
      <c r="AA70" s="3" t="inlineStr">
        <is>
          <t>старт</t>
        </is>
      </c>
      <c r="AF70" s="3" t="inlineStr">
        <is>
          <t>старт</t>
        </is>
      </c>
      <c r="AK70" s="3" t="inlineStr">
        <is>
          <t>старт</t>
        </is>
      </c>
    </row>
    <row r="71" ht="12" customHeight="1">
      <c r="A71" s="4" t="inlineStr">
        <is>
          <t>Кроос</t>
        </is>
      </c>
      <c r="B71" s="4" t="inlineStr">
        <is>
          <t>ЦП</t>
        </is>
      </c>
      <c r="C71" s="4" t="n">
        <v>87</v>
      </c>
      <c r="F71" s="4" t="inlineStr">
        <is>
          <t>Лева</t>
        </is>
      </c>
      <c r="G71" s="4" t="inlineStr">
        <is>
          <t>ФРВ</t>
        </is>
      </c>
      <c r="H71" s="4" t="n">
        <v>91</v>
      </c>
      <c r="K71" s="4" t="inlineStr">
        <is>
          <t>Родри</t>
        </is>
      </c>
      <c r="L71" s="4" t="inlineStr">
        <is>
          <t>ЦОП</t>
        </is>
      </c>
      <c r="M71" s="4" t="n">
        <v>89</v>
      </c>
      <c r="P71" s="4" t="inlineStr">
        <is>
          <t>Леау</t>
        </is>
      </c>
      <c r="Q71" s="4" t="inlineStr">
        <is>
          <t>ФРВ</t>
        </is>
      </c>
      <c r="R71" s="4" t="n">
        <v>89</v>
      </c>
      <c r="U71" s="4" t="inlineStr">
        <is>
          <t>Ремиро</t>
        </is>
      </c>
      <c r="V71" s="4" t="inlineStr">
        <is>
          <t>ВРТ</t>
        </is>
      </c>
      <c r="W71" s="4" t="n">
        <v>86</v>
      </c>
      <c r="Z71" s="4" t="inlineStr">
        <is>
          <t>Гонсалвеш</t>
        </is>
      </c>
      <c r="AA71" s="4" t="inlineStr">
        <is>
          <t>ФРВ</t>
        </is>
      </c>
      <c r="AB71" s="4" t="n">
        <v>86</v>
      </c>
      <c r="AE71" s="4" t="inlineStr">
        <is>
          <t>Газзанига</t>
        </is>
      </c>
      <c r="AF71" s="4" t="inlineStr">
        <is>
          <t>ВРТ</t>
        </is>
      </c>
      <c r="AG71" s="4" t="n">
        <v>84</v>
      </c>
      <c r="AJ71" s="4" t="inlineStr">
        <is>
          <t>Феликс</t>
        </is>
      </c>
      <c r="AK71" s="4" t="inlineStr">
        <is>
          <t>ФРВ</t>
        </is>
      </c>
      <c r="AL71" s="4" t="n">
        <v>84</v>
      </c>
    </row>
    <row r="72" ht="12" customHeight="1">
      <c r="A72" s="4" t="inlineStr">
        <is>
          <t>Нкунку</t>
        </is>
      </c>
      <c r="B72" s="4" t="inlineStr">
        <is>
          <t>ПФА</t>
        </is>
      </c>
      <c r="C72" s="4" t="n">
        <v>87</v>
      </c>
      <c r="F72" s="4" t="inlineStr">
        <is>
          <t>Араухо</t>
        </is>
      </c>
      <c r="G72" s="4" t="inlineStr">
        <is>
          <t>ЦЗ</t>
        </is>
      </c>
      <c r="H72" s="4" t="n">
        <v>90</v>
      </c>
      <c r="K72" s="4" t="inlineStr">
        <is>
          <t>Мората</t>
        </is>
      </c>
      <c r="L72" s="4" t="inlineStr">
        <is>
          <t>ФРВ</t>
        </is>
      </c>
      <c r="M72" s="4" t="n">
        <v>88</v>
      </c>
      <c r="P72" s="4" t="inlineStr">
        <is>
          <t>Сансет</t>
        </is>
      </c>
      <c r="Q72" s="4" t="inlineStr">
        <is>
          <t>ЦП</t>
        </is>
      </c>
      <c r="R72" s="4" t="n">
        <v>85</v>
      </c>
      <c r="U72" s="4" t="inlineStr">
        <is>
          <t>Вендел</t>
        </is>
      </c>
      <c r="V72" s="4" t="inlineStr">
        <is>
          <t>ЦП</t>
        </is>
      </c>
      <c r="W72" s="4" t="n">
        <v>85</v>
      </c>
      <c r="Z72" s="4" t="inlineStr">
        <is>
          <t>Рамос</t>
        </is>
      </c>
      <c r="AA72" s="4" t="inlineStr">
        <is>
          <t>ЦЗ</t>
        </is>
      </c>
      <c r="AB72" s="4" t="n">
        <v>84</v>
      </c>
      <c r="AE72" s="4" t="inlineStr">
        <is>
          <t>Жиру</t>
        </is>
      </c>
      <c r="AF72" s="4" t="inlineStr">
        <is>
          <t>ФРВ</t>
        </is>
      </c>
      <c r="AG72" s="4" t="n">
        <v>82</v>
      </c>
      <c r="AJ72" s="4" t="inlineStr">
        <is>
          <t>Шкриньяр</t>
        </is>
      </c>
      <c r="AK72" s="4" t="inlineStr">
        <is>
          <t>ЦЗ</t>
        </is>
      </c>
      <c r="AL72" s="4" t="n">
        <v>84</v>
      </c>
    </row>
    <row r="73" ht="12" customHeight="1">
      <c r="A73" s="4" t="inlineStr">
        <is>
          <t>Родриго</t>
        </is>
      </c>
      <c r="B73" s="4" t="inlineStr">
        <is>
          <t>ЛФА</t>
        </is>
      </c>
      <c r="C73" s="4" t="n">
        <v>87</v>
      </c>
      <c r="F73" s="4" t="inlineStr">
        <is>
          <t>Педри</t>
        </is>
      </c>
      <c r="G73" s="4" t="inlineStr">
        <is>
          <t>ЦАП</t>
        </is>
      </c>
      <c r="H73" s="4" t="n">
        <v>90</v>
      </c>
      <c r="K73" s="4" t="inlineStr">
        <is>
          <t>Облак</t>
        </is>
      </c>
      <c r="L73" s="4" t="inlineStr">
        <is>
          <t>ВРТ</t>
        </is>
      </c>
      <c r="M73" s="4" t="n">
        <v>88</v>
      </c>
      <c r="P73" s="4" t="inlineStr">
        <is>
          <t>Вивиан</t>
        </is>
      </c>
      <c r="Q73" s="4" t="inlineStr">
        <is>
          <t>ЦЗ</t>
        </is>
      </c>
      <c r="R73" s="4" t="n">
        <v>84</v>
      </c>
      <c r="U73" s="4" t="inlineStr">
        <is>
          <t>Ди Мария</t>
        </is>
      </c>
      <c r="V73" s="4" t="inlineStr">
        <is>
          <t>ПФА</t>
        </is>
      </c>
      <c r="W73" s="4" t="n">
        <v>85</v>
      </c>
      <c r="Z73" s="4" t="inlineStr">
        <is>
          <t>Лукебакио</t>
        </is>
      </c>
      <c r="AA73" s="4" t="inlineStr">
        <is>
          <t>ПФА</t>
        </is>
      </c>
      <c r="AB73" s="4" t="n">
        <v>83</v>
      </c>
      <c r="AE73" s="4" t="inlineStr">
        <is>
          <t>Эступинан</t>
        </is>
      </c>
      <c r="AF73" s="4" t="inlineStr">
        <is>
          <t>ЛЗ</t>
        </is>
      </c>
      <c r="AG73" s="4" t="n">
        <v>82</v>
      </c>
      <c r="AJ73" s="4" t="inlineStr">
        <is>
          <t>Витинья</t>
        </is>
      </c>
      <c r="AK73" s="4" t="inlineStr">
        <is>
          <t>ЦП</t>
        </is>
      </c>
      <c r="AL73" s="4" t="n">
        <v>83</v>
      </c>
    </row>
    <row r="74" ht="12" customHeight="1">
      <c r="A74" s="4" t="inlineStr">
        <is>
          <t>Алаба</t>
        </is>
      </c>
      <c r="B74" s="4" t="inlineStr">
        <is>
          <t>ЦЗ</t>
        </is>
      </c>
      <c r="C74" s="4" t="n">
        <v>86</v>
      </c>
      <c r="F74" s="4" t="inlineStr">
        <is>
          <t>Рафинья</t>
        </is>
      </c>
      <c r="G74" s="4" t="inlineStr">
        <is>
          <t>ПФА</t>
        </is>
      </c>
      <c r="H74" s="4" t="n">
        <v>89</v>
      </c>
      <c r="K74" s="4" t="inlineStr">
        <is>
          <t>Рейнилдо</t>
        </is>
      </c>
      <c r="L74" s="4" t="inlineStr">
        <is>
          <t>ЛЗ</t>
        </is>
      </c>
      <c r="M74" s="4" t="n">
        <v>87</v>
      </c>
      <c r="P74" s="4" t="inlineStr">
        <is>
          <t>Кулушевски</t>
        </is>
      </c>
      <c r="Q74" s="4" t="inlineStr">
        <is>
          <t>ЦП</t>
        </is>
      </c>
      <c r="R74" s="4" t="n">
        <v>84</v>
      </c>
      <c r="U74" s="4" t="inlineStr">
        <is>
          <t>Мендез</t>
        </is>
      </c>
      <c r="V74" s="4" t="inlineStr">
        <is>
          <t>ЦП</t>
        </is>
      </c>
      <c r="W74" s="4" t="n">
        <v>85</v>
      </c>
      <c r="Z74" s="4" t="inlineStr">
        <is>
          <t>Навас</t>
        </is>
      </c>
      <c r="AA74" s="4" t="inlineStr">
        <is>
          <t>ПЗ</t>
        </is>
      </c>
      <c r="AB74" s="4" t="n">
        <v>83</v>
      </c>
      <c r="AE74" s="4" t="inlineStr">
        <is>
          <t>Алейш Гарсия</t>
        </is>
      </c>
      <c r="AF74" s="4" t="inlineStr">
        <is>
          <t>ЦП</t>
        </is>
      </c>
      <c r="AG74" s="4" t="n">
        <v>81</v>
      </c>
      <c r="AJ74" s="4" t="inlineStr">
        <is>
          <t>Гидо Родригез</t>
        </is>
      </c>
      <c r="AK74" s="4" t="inlineStr">
        <is>
          <t>ЦОП</t>
        </is>
      </c>
      <c r="AL74" s="4" t="n">
        <v>83</v>
      </c>
    </row>
    <row r="75" ht="12" customHeight="1">
      <c r="A75" s="4" t="inlineStr">
        <is>
          <t>Браим</t>
        </is>
      </c>
      <c r="B75" s="4" t="inlineStr">
        <is>
          <t>ЦАП</t>
        </is>
      </c>
      <c r="C75" s="4" t="n">
        <v>86</v>
      </c>
      <c r="F75" s="4" t="inlineStr">
        <is>
          <t>Тер Штеген</t>
        </is>
      </c>
      <c r="G75" s="4" t="inlineStr">
        <is>
          <t>ВРТ</t>
        </is>
      </c>
      <c r="H75" s="4" t="n">
        <v>89</v>
      </c>
      <c r="K75" s="4" t="inlineStr">
        <is>
          <t>Лемар</t>
        </is>
      </c>
      <c r="L75" s="4" t="inlineStr">
        <is>
          <t>ЦП</t>
        </is>
      </c>
      <c r="M75" s="4" t="n">
        <v>86</v>
      </c>
      <c r="P75" s="4" t="inlineStr">
        <is>
          <t>Муниаин</t>
        </is>
      </c>
      <c r="Q75" s="4" t="inlineStr">
        <is>
          <t>ЦАП</t>
        </is>
      </c>
      <c r="R75" s="4" t="n">
        <v>84</v>
      </c>
      <c r="U75" s="4" t="inlineStr">
        <is>
          <t>Оярзабаль</t>
        </is>
      </c>
      <c r="V75" s="4" t="inlineStr">
        <is>
          <t>ЦАП</t>
        </is>
      </c>
      <c r="W75" s="4" t="n">
        <v>85</v>
      </c>
      <c r="Z75" s="4" t="inlineStr">
        <is>
          <t>Итакура</t>
        </is>
      </c>
      <c r="AA75" s="4" t="inlineStr">
        <is>
          <t>ЦЗ</t>
        </is>
      </c>
      <c r="AB75" s="4" t="n">
        <v>82</v>
      </c>
      <c r="AE75" s="4" t="inlineStr">
        <is>
          <t>Перейра</t>
        </is>
      </c>
      <c r="AF75" s="4" t="inlineStr">
        <is>
          <t>ЦП</t>
        </is>
      </c>
      <c r="AG75" s="4" t="n">
        <v>81</v>
      </c>
      <c r="AJ75" s="4" t="inlineStr">
        <is>
          <t>Иско</t>
        </is>
      </c>
      <c r="AK75" s="4" t="inlineStr">
        <is>
          <t>ЦАП</t>
        </is>
      </c>
      <c r="AL75" s="4" t="n">
        <v>83</v>
      </c>
    </row>
    <row r="76" ht="12" customHeight="1">
      <c r="A76" s="4" t="inlineStr">
        <is>
          <t>Гарсия</t>
        </is>
      </c>
      <c r="B76" s="4" t="inlineStr">
        <is>
          <t>ЛЗ</t>
        </is>
      </c>
      <c r="C76" s="4" t="n">
        <v>86</v>
      </c>
      <c r="F76" s="4" t="inlineStr">
        <is>
          <t>Бремер</t>
        </is>
      </c>
      <c r="G76" s="4" t="inlineStr">
        <is>
          <t>ЦЗ</t>
        </is>
      </c>
      <c r="H76" s="4" t="n">
        <v>88</v>
      </c>
      <c r="K76" s="4" t="inlineStr">
        <is>
          <t>Молина</t>
        </is>
      </c>
      <c r="L76" s="4" t="inlineStr">
        <is>
          <t>ПЗ</t>
        </is>
      </c>
      <c r="M76" s="4" t="n">
        <v>86</v>
      </c>
      <c r="P76" s="4" t="inlineStr">
        <is>
          <t>Симон</t>
        </is>
      </c>
      <c r="Q76" s="4" t="inlineStr">
        <is>
          <t>ВРТ</t>
        </is>
      </c>
      <c r="R76" s="4" t="n">
        <v>84</v>
      </c>
      <c r="U76" s="4" t="inlineStr">
        <is>
          <t>Кимпембе</t>
        </is>
      </c>
      <c r="V76" s="4" t="inlineStr">
        <is>
          <t>ЦЗ</t>
        </is>
      </c>
      <c r="W76" s="4" t="n">
        <v>82</v>
      </c>
      <c r="Z76" s="4" t="inlineStr">
        <is>
          <t>Карраско</t>
        </is>
      </c>
      <c r="AA76" s="4" t="inlineStr">
        <is>
          <t>ЛФА</t>
        </is>
      </c>
      <c r="AB76" s="4" t="n">
        <v>82</v>
      </c>
      <c r="AE76" s="4" t="inlineStr">
        <is>
          <t>Мартинес</t>
        </is>
      </c>
      <c r="AF76" s="4" t="inlineStr">
        <is>
          <t>ПЗ</t>
        </is>
      </c>
      <c r="AG76" s="4" t="n">
        <v>80</v>
      </c>
      <c r="AJ76" s="4" t="inlineStr">
        <is>
          <t>Силва</t>
        </is>
      </c>
      <c r="AK76" s="4" t="inlineStr">
        <is>
          <t>ВРТ</t>
        </is>
      </c>
      <c r="AL76" s="4" t="n">
        <v>83</v>
      </c>
    </row>
    <row r="77" ht="12" customHeight="1">
      <c r="A77" s="4" t="inlineStr">
        <is>
          <t>Лукаку</t>
        </is>
      </c>
      <c r="B77" s="4" t="inlineStr">
        <is>
          <t>ФРВ</t>
        </is>
      </c>
      <c r="C77" s="4" t="n">
        <v>86</v>
      </c>
      <c r="F77" s="4" t="inlineStr">
        <is>
          <t>Канселу</t>
        </is>
      </c>
      <c r="G77" s="4" t="inlineStr">
        <is>
          <t>ПЗ</t>
        </is>
      </c>
      <c r="H77" s="4" t="n">
        <v>87</v>
      </c>
      <c r="K77" s="4" t="inlineStr">
        <is>
          <t>Льоренте</t>
        </is>
      </c>
      <c r="L77" s="4" t="inlineStr">
        <is>
          <t>ЦП</t>
        </is>
      </c>
      <c r="M77" s="4" t="n">
        <v>85</v>
      </c>
      <c r="P77" s="4" t="inlineStr">
        <is>
          <t>Нико</t>
        </is>
      </c>
      <c r="Q77" s="4" t="inlineStr">
        <is>
          <t>ЛФА</t>
        </is>
      </c>
      <c r="R77" s="4" t="n">
        <v>83</v>
      </c>
      <c r="U77" s="4" t="inlineStr">
        <is>
          <t>Фернандес</t>
        </is>
      </c>
      <c r="V77" s="4" t="inlineStr">
        <is>
          <t>ПЗ</t>
        </is>
      </c>
      <c r="W77" s="4" t="n">
        <v>82</v>
      </c>
      <c r="Z77" s="4" t="inlineStr">
        <is>
          <t>Ундав</t>
        </is>
      </c>
      <c r="AA77" s="4" t="inlineStr">
        <is>
          <t>ЦП</t>
        </is>
      </c>
      <c r="AB77" s="4" t="n">
        <v>82</v>
      </c>
      <c r="AE77" s="4" t="inlineStr">
        <is>
          <t>Промес</t>
        </is>
      </c>
      <c r="AF77" s="4" t="inlineStr">
        <is>
          <t>ЛФА</t>
        </is>
      </c>
      <c r="AG77" s="4" t="n">
        <v>80</v>
      </c>
      <c r="AJ77" s="4" t="inlineStr">
        <is>
          <t>Галан</t>
        </is>
      </c>
      <c r="AK77" s="4" t="inlineStr">
        <is>
          <t>ЛЗ</t>
        </is>
      </c>
      <c r="AL77" s="4" t="n">
        <v>82</v>
      </c>
    </row>
    <row r="78" ht="12" customHeight="1">
      <c r="A78" s="4" t="inlineStr">
        <is>
          <t>Начо</t>
        </is>
      </c>
      <c r="B78" s="4" t="inlineStr">
        <is>
          <t>ЦЗ</t>
        </is>
      </c>
      <c r="C78" s="4" t="n">
        <v>86</v>
      </c>
      <c r="F78" s="4" t="inlineStr">
        <is>
          <t>Неймар</t>
        </is>
      </c>
      <c r="G78" s="4" t="inlineStr">
        <is>
          <t>ЛФА</t>
        </is>
      </c>
      <c r="H78" s="4" t="n">
        <v>87</v>
      </c>
      <c r="K78" s="4" t="inlineStr">
        <is>
          <t>Савич</t>
        </is>
      </c>
      <c r="L78" s="4" t="inlineStr">
        <is>
          <t>ЦЗ</t>
        </is>
      </c>
      <c r="M78" s="4" t="n">
        <v>85</v>
      </c>
      <c r="P78" s="4" t="inlineStr">
        <is>
          <t>Иньяки</t>
        </is>
      </c>
      <c r="Q78" s="4" t="inlineStr">
        <is>
          <t>ПФА</t>
        </is>
      </c>
      <c r="R78" s="4" t="n">
        <v>82</v>
      </c>
      <c r="U78" s="4" t="inlineStr">
        <is>
          <t>Тирни</t>
        </is>
      </c>
      <c r="V78" s="4" t="inlineStr">
        <is>
          <t>ЛЗ</t>
        </is>
      </c>
      <c r="W78" s="4" t="n">
        <v>80</v>
      </c>
      <c r="Z78" s="4" t="inlineStr">
        <is>
          <t>Льорис</t>
        </is>
      </c>
      <c r="AA78" s="4" t="inlineStr">
        <is>
          <t>ВРТ</t>
        </is>
      </c>
      <c r="AB78" s="4" t="n">
        <v>81</v>
      </c>
      <c r="AE78" s="4" t="inlineStr">
        <is>
          <t>Пулишич</t>
        </is>
      </c>
      <c r="AF78" s="4" t="inlineStr">
        <is>
          <t>ПФА</t>
        </is>
      </c>
      <c r="AG78" s="4" t="n">
        <v>79</v>
      </c>
      <c r="AJ78" s="4" t="inlineStr">
        <is>
          <t>Васкез</t>
        </is>
      </c>
      <c r="AK78" s="4" t="inlineStr">
        <is>
          <t>ПЗ</t>
        </is>
      </c>
      <c r="AL78" s="4" t="n">
        <v>81</v>
      </c>
    </row>
    <row r="79" ht="12" customHeight="1">
      <c r="A79" s="4" t="inlineStr">
        <is>
          <t>Куртуа</t>
        </is>
      </c>
      <c r="B79" s="4" t="inlineStr">
        <is>
          <t>ВРТ</t>
        </is>
      </c>
      <c r="C79" s="4" t="n">
        <v>85</v>
      </c>
      <c r="F79" s="4" t="inlineStr">
        <is>
          <t>Де Йонг</t>
        </is>
      </c>
      <c r="G79" s="4" t="inlineStr">
        <is>
          <t>ЦП</t>
        </is>
      </c>
      <c r="H79" s="4" t="n">
        <v>86</v>
      </c>
      <c r="K79" s="4" t="inlineStr">
        <is>
          <t>Обамеянг</t>
        </is>
      </c>
      <c r="L79" s="4" t="inlineStr">
        <is>
          <t>ФРВ</t>
        </is>
      </c>
      <c r="M79" s="4" t="n">
        <v>83</v>
      </c>
      <c r="P79" s="4" t="inlineStr">
        <is>
          <t>Траоре</t>
        </is>
      </c>
      <c r="Q79" s="4" t="inlineStr">
        <is>
          <t>ПЗ</t>
        </is>
      </c>
      <c r="R79" s="4" t="n">
        <v>82</v>
      </c>
      <c r="U79" s="4" t="inlineStr">
        <is>
          <t>Элустондо</t>
        </is>
      </c>
      <c r="V79" s="4" t="inlineStr">
        <is>
          <t>ЦЗ</t>
        </is>
      </c>
      <c r="W79" s="4" t="n">
        <v>80</v>
      </c>
      <c r="Z79" s="4" t="inlineStr">
        <is>
          <t>Закария</t>
        </is>
      </c>
      <c r="AA79" s="4" t="inlineStr">
        <is>
          <t>ЦП</t>
        </is>
      </c>
      <c r="AB79" s="4" t="n">
        <v>79</v>
      </c>
      <c r="AE79" s="4" t="inlineStr">
        <is>
          <t>Эррера</t>
        </is>
      </c>
      <c r="AF79" s="4" t="inlineStr">
        <is>
          <t>ЦАП</t>
        </is>
      </c>
      <c r="AG79" s="4" t="n">
        <v>77</v>
      </c>
      <c r="AJ79" s="4" t="inlineStr">
        <is>
          <t>Ханко</t>
        </is>
      </c>
      <c r="AK79" s="4" t="inlineStr">
        <is>
          <t>ЦЗ</t>
        </is>
      </c>
      <c r="AL79" s="4" t="n">
        <v>81</v>
      </c>
    </row>
    <row r="80" ht="12" customHeight="1">
      <c r="A80" s="4" t="inlineStr">
        <is>
          <t>Эриксен</t>
        </is>
      </c>
      <c r="B80" s="4" t="inlineStr">
        <is>
          <t>ЦП</t>
        </is>
      </c>
      <c r="C80" s="4" t="n">
        <v>84</v>
      </c>
      <c r="F80" s="4" t="inlineStr">
        <is>
          <t>Бальде</t>
        </is>
      </c>
      <c r="G80" s="4" t="inlineStr">
        <is>
          <t>ЛЗ</t>
        </is>
      </c>
      <c r="H80" s="4" t="n">
        <v>85</v>
      </c>
      <c r="K80" s="4" t="inlineStr">
        <is>
          <t>Джикия</t>
        </is>
      </c>
      <c r="L80" s="4" t="inlineStr">
        <is>
          <t>ЦЗ</t>
        </is>
      </c>
      <c r="M80" s="4" t="n">
        <v>82</v>
      </c>
      <c r="P80" s="4" t="inlineStr">
        <is>
          <t>Йерай</t>
        </is>
      </c>
      <c r="Q80" s="4" t="inlineStr">
        <is>
          <t>ЦЗ</t>
        </is>
      </c>
      <c r="R80" s="4" t="n">
        <v>80</v>
      </c>
      <c r="U80" s="4" t="inlineStr">
        <is>
          <t>Лориент</t>
        </is>
      </c>
      <c r="V80" s="4" t="inlineStr">
        <is>
          <t>ЛФА</t>
        </is>
      </c>
      <c r="W80" s="4" t="n">
        <v>79</v>
      </c>
      <c r="Z80" s="4" t="inlineStr">
        <is>
          <t>Каку</t>
        </is>
      </c>
      <c r="AA80" s="4" t="inlineStr">
        <is>
          <t>ЦАП</t>
        </is>
      </c>
      <c r="AB80" s="4" t="n">
        <v>79</v>
      </c>
      <c r="AE80" s="4" t="inlineStr">
        <is>
          <t>Ангуло</t>
        </is>
      </c>
      <c r="AF80" s="4" t="inlineStr">
        <is>
          <t>ЦЗ</t>
        </is>
      </c>
      <c r="AG80" s="4" t="n">
        <v>74</v>
      </c>
      <c r="AJ80" s="4" t="inlineStr">
        <is>
          <t>Эль Шарави</t>
        </is>
      </c>
      <c r="AK80" s="4" t="inlineStr">
        <is>
          <t>ЛФА</t>
        </is>
      </c>
      <c r="AL80" s="4" t="n">
        <v>81</v>
      </c>
    </row>
    <row r="81" ht="12" customHeight="1">
      <c r="A81" s="4" t="inlineStr">
        <is>
          <t>Лампти</t>
        </is>
      </c>
      <c r="B81" s="4" t="inlineStr">
        <is>
          <t>ПЗ</t>
        </is>
      </c>
      <c r="C81" s="4" t="n">
        <v>78</v>
      </c>
      <c r="F81" s="4" t="inlineStr">
        <is>
          <t>Гави</t>
        </is>
      </c>
      <c r="G81" s="4" t="inlineStr">
        <is>
          <t>ЦП</t>
        </is>
      </c>
      <c r="H81" s="4" t="n">
        <v>84</v>
      </c>
      <c r="K81" s="4" t="inlineStr">
        <is>
          <t>Алмада</t>
        </is>
      </c>
      <c r="L81" s="4" t="inlineStr">
        <is>
          <t>ЦАП</t>
        </is>
      </c>
      <c r="M81" s="4" t="n">
        <v>81</v>
      </c>
      <c r="P81" s="4" t="inlineStr">
        <is>
          <t>Лоди</t>
        </is>
      </c>
      <c r="Q81" s="4" t="inlineStr">
        <is>
          <t>ЛЗ</t>
        </is>
      </c>
      <c r="R81" s="4" t="n">
        <v>79</v>
      </c>
      <c r="U81" s="4" t="inlineStr">
        <is>
          <t>Тюкавин</t>
        </is>
      </c>
      <c r="V81" s="4" t="inlineStr">
        <is>
          <t>ФРВ</t>
        </is>
      </c>
      <c r="W81" s="4" t="n">
        <v>74</v>
      </c>
      <c r="Z81" s="4" t="inlineStr">
        <is>
          <t>Педроса</t>
        </is>
      </c>
      <c r="AA81" s="4" t="inlineStr">
        <is>
          <t>ЛЗ</t>
        </is>
      </c>
      <c r="AB81" s="4" t="n">
        <v>79</v>
      </c>
      <c r="AE81" s="4" t="inlineStr">
        <is>
          <t>Брабек</t>
        </is>
      </c>
      <c r="AF81" s="4" t="inlineStr">
        <is>
          <t>ЦЗ</t>
        </is>
      </c>
      <c r="AG81" s="4" t="n">
        <v>74</v>
      </c>
      <c r="AJ81" s="4" t="inlineStr">
        <is>
          <t>Науфф</t>
        </is>
      </c>
      <c r="AK81" s="4" t="inlineStr">
        <is>
          <t>ПФА</t>
        </is>
      </c>
      <c r="AL81" s="4" t="n">
        <v>77</v>
      </c>
    </row>
    <row r="82" ht="12" customHeight="1">
      <c r="B82" s="3" t="inlineStr">
        <is>
          <t>запас</t>
        </is>
      </c>
      <c r="G82" s="3" t="inlineStr">
        <is>
          <t>запас</t>
        </is>
      </c>
      <c r="L82" s="3" t="inlineStr">
        <is>
          <t>запас</t>
        </is>
      </c>
      <c r="Q82" s="3" t="inlineStr">
        <is>
          <t>запас</t>
        </is>
      </c>
      <c r="V82" s="3" t="inlineStr">
        <is>
          <t>запас</t>
        </is>
      </c>
      <c r="AA82" s="3" t="inlineStr">
        <is>
          <t>запас</t>
        </is>
      </c>
      <c r="AF82" s="3" t="inlineStr">
        <is>
          <t>запас</t>
        </is>
      </c>
      <c r="AK82" s="3" t="inlineStr">
        <is>
          <t>запас</t>
        </is>
      </c>
    </row>
    <row r="83" ht="12" customHeight="1">
      <c r="A83" s="4" t="inlineStr">
        <is>
          <t>Вальверде</t>
        </is>
      </c>
      <c r="B83" s="4" t="inlineStr">
        <is>
          <t>ЦОП</t>
        </is>
      </c>
      <c r="C83" s="4" t="n">
        <v>86</v>
      </c>
      <c r="F83" s="4" t="inlineStr">
        <is>
          <t>Гюндоган</t>
        </is>
      </c>
      <c r="G83" s="4" t="inlineStr">
        <is>
          <t>ЦП</t>
        </is>
      </c>
      <c r="H83" s="4" t="n">
        <v>85</v>
      </c>
      <c r="K83" s="4" t="inlineStr">
        <is>
          <t>Депай</t>
        </is>
      </c>
      <c r="L83" s="4" t="inlineStr">
        <is>
          <t>ЦАП</t>
        </is>
      </c>
      <c r="M83" s="4" t="n">
        <v>86</v>
      </c>
      <c r="P83" s="4" t="inlineStr">
        <is>
          <t>Пикфорд</t>
        </is>
      </c>
      <c r="Q83" s="4" t="inlineStr">
        <is>
          <t>ВРТ</t>
        </is>
      </c>
      <c r="R83" s="4" t="n">
        <v>82</v>
      </c>
      <c r="U83" s="4" t="inlineStr">
        <is>
          <t>Лено</t>
        </is>
      </c>
      <c r="V83" s="4" t="inlineStr">
        <is>
          <t>ВРТ</t>
        </is>
      </c>
      <c r="W83" s="4" t="n">
        <v>82</v>
      </c>
      <c r="Z83" s="4" t="inlineStr">
        <is>
          <t>Окампос</t>
        </is>
      </c>
      <c r="AA83" s="4" t="inlineStr">
        <is>
          <t>ЛФА</t>
        </is>
      </c>
      <c r="AB83" s="4" t="n">
        <v>81</v>
      </c>
      <c r="AE83" s="4" t="inlineStr">
        <is>
          <t>Медина</t>
        </is>
      </c>
      <c r="AF83" s="4" t="inlineStr">
        <is>
          <t>ЦЗ</t>
        </is>
      </c>
      <c r="AG83" s="4" t="n">
        <v>80</v>
      </c>
      <c r="AJ83" s="4" t="inlineStr">
        <is>
          <t>Пепе</t>
        </is>
      </c>
      <c r="AK83" s="4" t="inlineStr">
        <is>
          <t>ЦЗ</t>
        </is>
      </c>
      <c r="AL83" s="4" t="n">
        <v>81</v>
      </c>
    </row>
    <row r="84" ht="12" customHeight="1">
      <c r="A84" s="4" t="inlineStr">
        <is>
          <t>Маркиньос</t>
        </is>
      </c>
      <c r="B84" s="4" t="inlineStr">
        <is>
          <t>ЦЗ</t>
        </is>
      </c>
      <c r="C84" s="4" t="n">
        <v>85</v>
      </c>
      <c r="F84" s="4" t="inlineStr">
        <is>
          <t>Палазон</t>
        </is>
      </c>
      <c r="G84" s="4" t="inlineStr">
        <is>
          <t>ЛФА</t>
        </is>
      </c>
      <c r="H84" s="4" t="n">
        <v>85</v>
      </c>
      <c r="K84" s="4" t="inlineStr">
        <is>
          <t>Корреа</t>
        </is>
      </c>
      <c r="L84" s="4" t="inlineStr">
        <is>
          <t>ФРВ</t>
        </is>
      </c>
      <c r="M84" s="4" t="n">
        <v>84</v>
      </c>
      <c r="P84" s="4" t="inlineStr">
        <is>
          <t>Торрейра</t>
        </is>
      </c>
      <c r="Q84" s="4" t="inlineStr">
        <is>
          <t>ЦП</t>
        </is>
      </c>
      <c r="R84" s="4" t="n">
        <v>82</v>
      </c>
      <c r="U84" s="4" t="inlineStr">
        <is>
          <t>Зубименди</t>
        </is>
      </c>
      <c r="V84" s="4" t="inlineStr">
        <is>
          <t>ЦП</t>
        </is>
      </c>
      <c r="W84" s="4" t="n">
        <v>80</v>
      </c>
      <c r="Z84" s="4" t="inlineStr">
        <is>
          <t>Дмитрович</t>
        </is>
      </c>
      <c r="AA84" s="4" t="inlineStr">
        <is>
          <t>ВРТ</t>
        </is>
      </c>
      <c r="AB84" s="4" t="n">
        <v>80</v>
      </c>
      <c r="AE84" s="4" t="inlineStr">
        <is>
          <t>Блинд</t>
        </is>
      </c>
      <c r="AF84" s="4" t="inlineStr">
        <is>
          <t>ЦЗ</t>
        </is>
      </c>
      <c r="AG84" s="4" t="n">
        <v>79</v>
      </c>
      <c r="AJ84" s="4" t="inlineStr">
        <is>
          <t>Терье</t>
        </is>
      </c>
      <c r="AK84" s="4" t="inlineStr">
        <is>
          <t>ЛФА</t>
        </is>
      </c>
      <c r="AL84" s="4" t="n">
        <v>81</v>
      </c>
    </row>
    <row r="85" ht="12" customHeight="1">
      <c r="A85" s="4" t="inlineStr">
        <is>
          <t>Тчуамени</t>
        </is>
      </c>
      <c r="B85" s="4" t="inlineStr">
        <is>
          <t>ЦП</t>
        </is>
      </c>
      <c r="C85" s="4" t="n">
        <v>84</v>
      </c>
      <c r="F85" s="4" t="inlineStr">
        <is>
          <t>Кристенсен</t>
        </is>
      </c>
      <c r="G85" s="4" t="inlineStr">
        <is>
          <t>ЦЗ</t>
        </is>
      </c>
      <c r="H85" s="4" t="n">
        <v>83</v>
      </c>
      <c r="K85" s="4" t="inlineStr">
        <is>
          <t>Хоселу</t>
        </is>
      </c>
      <c r="L85" s="4" t="inlineStr">
        <is>
          <t>ФРВ</t>
        </is>
      </c>
      <c r="M85" s="4" t="n">
        <v>83</v>
      </c>
      <c r="P85" s="4" t="inlineStr">
        <is>
          <t>Андер Эррера</t>
        </is>
      </c>
      <c r="Q85" s="4" t="inlineStr">
        <is>
          <t>ЦП</t>
        </is>
      </c>
      <c r="R85" s="4" t="n">
        <v>80</v>
      </c>
      <c r="U85" s="4" t="inlineStr">
        <is>
          <t>Ле Норманд</t>
        </is>
      </c>
      <c r="V85" s="4" t="inlineStr">
        <is>
          <t>ЦЗ</t>
        </is>
      </c>
      <c r="W85" s="4" t="n">
        <v>80</v>
      </c>
      <c r="Z85" s="4" t="inlineStr">
        <is>
          <t>Виска</t>
        </is>
      </c>
      <c r="AA85" s="4" t="inlineStr">
        <is>
          <t>ПФА</t>
        </is>
      </c>
      <c r="AB85" s="4" t="n">
        <v>79</v>
      </c>
      <c r="AE85" s="4" t="inlineStr">
        <is>
          <t>Марчесин</t>
        </is>
      </c>
      <c r="AF85" s="4" t="inlineStr">
        <is>
          <t>ВРТ</t>
        </is>
      </c>
      <c r="AG85" s="4" t="n">
        <v>78</v>
      </c>
      <c r="AJ85" s="4" t="inlineStr">
        <is>
          <t>Ндиди</t>
        </is>
      </c>
      <c r="AK85" s="4" t="inlineStr">
        <is>
          <t>ЦОП</t>
        </is>
      </c>
      <c r="AL85" s="4" t="n">
        <v>79</v>
      </c>
    </row>
    <row r="86" ht="12" customHeight="1">
      <c r="A86" s="4" t="inlineStr">
        <is>
          <t>Дембеле</t>
        </is>
      </c>
      <c r="B86" s="4" t="inlineStr">
        <is>
          <t>ПФА</t>
        </is>
      </c>
      <c r="C86" s="4" t="n">
        <v>83</v>
      </c>
      <c r="F86" s="4" t="inlineStr">
        <is>
          <t>Кунде</t>
        </is>
      </c>
      <c r="G86" s="4" t="inlineStr">
        <is>
          <t>ЦЗ</t>
        </is>
      </c>
      <c r="H86" s="4" t="n">
        <v>83</v>
      </c>
      <c r="K86" s="4" t="inlineStr">
        <is>
          <t>Эрмосо</t>
        </is>
      </c>
      <c r="L86" s="4" t="inlineStr">
        <is>
          <t>ЦЗ</t>
        </is>
      </c>
      <c r="M86" s="4" t="n">
        <v>81</v>
      </c>
      <c r="P86" s="4" t="inlineStr">
        <is>
          <t>Демираль</t>
        </is>
      </c>
      <c r="Q86" s="4" t="inlineStr">
        <is>
          <t>ЦЗ</t>
        </is>
      </c>
      <c r="R86" s="4" t="n">
        <v>77</v>
      </c>
      <c r="U86" s="4" t="inlineStr">
        <is>
          <t>Ройс</t>
        </is>
      </c>
      <c r="V86" s="4" t="inlineStr">
        <is>
          <t>ЦАП</t>
        </is>
      </c>
      <c r="W86" s="4" t="n">
        <v>80</v>
      </c>
      <c r="Z86" s="4" t="inlineStr">
        <is>
          <t>Жоелинтон</t>
        </is>
      </c>
      <c r="AA86" s="4" t="inlineStr">
        <is>
          <t>ЦП</t>
        </is>
      </c>
      <c r="AB86" s="4" t="n">
        <v>79</v>
      </c>
      <c r="AE86" s="4" t="inlineStr">
        <is>
          <t>Савио</t>
        </is>
      </c>
      <c r="AF86" s="4" t="inlineStr">
        <is>
          <t>ЛФА</t>
        </is>
      </c>
      <c r="AG86" s="4" t="n">
        <v>77</v>
      </c>
      <c r="AJ86" s="4" t="inlineStr">
        <is>
          <t>Алмейда</t>
        </is>
      </c>
      <c r="AK86" s="4" t="inlineStr">
        <is>
          <t>ЦП</t>
        </is>
      </c>
      <c r="AL86" s="4" t="n">
        <v>78</v>
      </c>
    </row>
    <row r="87" ht="12" customHeight="1">
      <c r="A87" s="4" t="inlineStr">
        <is>
          <t>Карвахаль</t>
        </is>
      </c>
      <c r="B87" s="4" t="inlineStr">
        <is>
          <t>ПЗ</t>
        </is>
      </c>
      <c r="C87" s="4" t="n">
        <v>82</v>
      </c>
      <c r="F87" s="4" t="inlineStr">
        <is>
          <t>Флеккен</t>
        </is>
      </c>
      <c r="G87" s="4" t="inlineStr">
        <is>
          <t>ВРТ</t>
        </is>
      </c>
      <c r="H87" s="4" t="n">
        <v>82</v>
      </c>
      <c r="K87" s="4" t="inlineStr">
        <is>
          <t>Муслера</t>
        </is>
      </c>
      <c r="L87" s="4" t="inlineStr">
        <is>
          <t>ВРТ</t>
        </is>
      </c>
      <c r="M87" s="4" t="n">
        <v>80</v>
      </c>
      <c r="P87" s="4" t="inlineStr">
        <is>
          <t>Хартман</t>
        </is>
      </c>
      <c r="Q87" s="4" t="inlineStr">
        <is>
          <t>ЛЗ</t>
        </is>
      </c>
      <c r="R87" s="4" t="n">
        <v>77</v>
      </c>
      <c r="U87" s="4" t="inlineStr">
        <is>
          <t>Семедо</t>
        </is>
      </c>
      <c r="V87" s="4" t="inlineStr">
        <is>
          <t>ПЗ</t>
        </is>
      </c>
      <c r="W87" s="4" t="n">
        <v>78</v>
      </c>
      <c r="Z87" s="4" t="inlineStr">
        <is>
          <t>Пиннок</t>
        </is>
      </c>
      <c r="AA87" s="4" t="inlineStr">
        <is>
          <t>ЦЗ</t>
        </is>
      </c>
      <c r="AB87" s="4" t="n">
        <v>79</v>
      </c>
      <c r="AE87" s="4" t="inlineStr">
        <is>
          <t>Сотока</t>
        </is>
      </c>
      <c r="AF87" s="4" t="inlineStr">
        <is>
          <t>ФРВ</t>
        </is>
      </c>
      <c r="AG87" s="4" t="n">
        <v>77</v>
      </c>
      <c r="AJ87" s="4" t="inlineStr">
        <is>
          <t>Максимино</t>
        </is>
      </c>
      <c r="AK87" s="4" t="inlineStr">
        <is>
          <t>ВРТ</t>
        </is>
      </c>
      <c r="AL87" s="4" t="n">
        <v>78</v>
      </c>
    </row>
    <row r="88" ht="12" customHeight="1">
      <c r="A88" s="4" t="inlineStr">
        <is>
          <t>Кепа</t>
        </is>
      </c>
      <c r="B88" s="4" t="inlineStr">
        <is>
          <t>ВРТ</t>
        </is>
      </c>
      <c r="C88" s="4" t="n">
        <v>82</v>
      </c>
      <c r="F88" s="4" t="inlineStr">
        <is>
          <t>Аль-Мусрати</t>
        </is>
      </c>
      <c r="G88" s="4" t="inlineStr">
        <is>
          <t>ЦОП</t>
        </is>
      </c>
      <c r="H88" s="4" t="n">
        <v>81</v>
      </c>
      <c r="K88" s="4" t="inlineStr">
        <is>
          <t>Тюрам</t>
        </is>
      </c>
      <c r="L88" s="4" t="inlineStr">
        <is>
          <t>ЦП</t>
        </is>
      </c>
      <c r="M88" s="4" t="n">
        <v>79</v>
      </c>
      <c r="P88" s="4" t="inlineStr">
        <is>
          <t>Джонсон</t>
        </is>
      </c>
      <c r="Q88" s="4" t="inlineStr">
        <is>
          <t>ПФА</t>
        </is>
      </c>
      <c r="R88" s="4" t="n">
        <v>76</v>
      </c>
      <c r="U88" s="4" t="inlineStr">
        <is>
          <t>Авонийи</t>
        </is>
      </c>
      <c r="V88" s="4" t="inlineStr">
        <is>
          <t>ФРВ</t>
        </is>
      </c>
      <c r="W88" s="4" t="n">
        <v>77</v>
      </c>
      <c r="Z88" s="4" t="inlineStr">
        <is>
          <t>Мохамед Камара</t>
        </is>
      </c>
      <c r="AA88" s="4" t="inlineStr">
        <is>
          <t>ЦП</t>
        </is>
      </c>
      <c r="AB88" s="4" t="n">
        <v>78</v>
      </c>
      <c r="AE88" s="4" t="inlineStr">
        <is>
          <t>Батурина</t>
        </is>
      </c>
      <c r="AF88" s="4" t="inlineStr">
        <is>
          <t>ЦП</t>
        </is>
      </c>
      <c r="AG88" s="4" t="n">
        <v>74</v>
      </c>
      <c r="AJ88" s="4" t="inlineStr">
        <is>
          <t>Луиз Энрике</t>
        </is>
      </c>
      <c r="AK88" s="4" t="inlineStr">
        <is>
          <t>ЛФА</t>
        </is>
      </c>
      <c r="AL88" s="4" t="n">
        <v>77</v>
      </c>
    </row>
    <row r="89" ht="12" customHeight="1">
      <c r="A89" s="4" t="inlineStr">
        <is>
          <t>Талиска</t>
        </is>
      </c>
      <c r="B89" s="4" t="inlineStr">
        <is>
          <t>ЦАП</t>
        </is>
      </c>
      <c r="C89" s="4" t="n">
        <v>82</v>
      </c>
      <c r="F89" s="4" t="inlineStr">
        <is>
          <t>Висса</t>
        </is>
      </c>
      <c r="G89" s="4" t="inlineStr">
        <is>
          <t>ЛФА</t>
        </is>
      </c>
      <c r="H89" s="4" t="n">
        <v>77</v>
      </c>
      <c r="K89" s="4" t="inlineStr">
        <is>
          <t>Рамирез</t>
        </is>
      </c>
      <c r="L89" s="4" t="inlineStr">
        <is>
          <t>ЛЗ</t>
        </is>
      </c>
      <c r="M89" s="4" t="n">
        <v>75</v>
      </c>
      <c r="P89" s="4" t="inlineStr">
        <is>
          <t>Эрнандез</t>
        </is>
      </c>
      <c r="Q89" s="4" t="inlineStr">
        <is>
          <t>ФРВ</t>
        </is>
      </c>
      <c r="R89" s="4" t="n">
        <v>76</v>
      </c>
      <c r="U89" s="4" t="inlineStr">
        <is>
          <t>Захарян</t>
        </is>
      </c>
      <c r="V89" s="4" t="inlineStr">
        <is>
          <t>ЛФА</t>
        </is>
      </c>
      <c r="W89" s="4" t="n">
        <v>76</v>
      </c>
      <c r="Z89" s="4" t="inlineStr">
        <is>
          <t>Сков</t>
        </is>
      </c>
      <c r="AA89" s="4" t="inlineStr">
        <is>
          <t>ЛЗ</t>
        </is>
      </c>
      <c r="AB89" s="4" t="n">
        <v>78</v>
      </c>
      <c r="AE89" s="4" t="inlineStr">
        <is>
          <t>Сучич</t>
        </is>
      </c>
      <c r="AF89" s="4" t="inlineStr">
        <is>
          <t>ЦАП</t>
        </is>
      </c>
      <c r="AG89" s="4" t="n">
        <v>74</v>
      </c>
      <c r="AJ89" s="4" t="inlineStr">
        <is>
          <t>Миранда</t>
        </is>
      </c>
      <c r="AK89" s="4" t="inlineStr">
        <is>
          <t>ЛЗ</t>
        </is>
      </c>
      <c r="AL89" s="4" t="n">
        <v>77</v>
      </c>
    </row>
    <row r="90" ht="12" customHeight="1">
      <c r="B90" s="3" t="inlineStr">
        <is>
          <t>резерв</t>
        </is>
      </c>
      <c r="G90" s="3" t="inlineStr">
        <is>
          <t>резерв</t>
        </is>
      </c>
      <c r="L90" s="3" t="inlineStr">
        <is>
          <t>резерв</t>
        </is>
      </c>
      <c r="Q90" s="3" t="inlineStr">
        <is>
          <t>резерв</t>
        </is>
      </c>
      <c r="V90" s="3" t="inlineStr">
        <is>
          <t>резерв</t>
        </is>
      </c>
      <c r="AA90" s="3" t="inlineStr">
        <is>
          <t>резерв</t>
        </is>
      </c>
      <c r="AF90" s="3" t="inlineStr">
        <is>
          <t>резерв</t>
        </is>
      </c>
      <c r="AK90" s="3" t="inlineStr">
        <is>
          <t>резерв</t>
        </is>
      </c>
    </row>
    <row r="91" ht="12" customHeight="1">
      <c r="A91" s="4" t="inlineStr">
        <is>
          <t>Камавинга</t>
        </is>
      </c>
      <c r="B91" s="4" t="inlineStr">
        <is>
          <t>ЦП</t>
        </is>
      </c>
      <c r="C91" s="4" t="n">
        <v>82</v>
      </c>
      <c r="F91" s="4" t="inlineStr">
        <is>
          <t>Алексис Санчес</t>
        </is>
      </c>
      <c r="G91" s="4" t="inlineStr">
        <is>
          <t>ФРВ</t>
        </is>
      </c>
      <c r="H91" s="4" t="n">
        <v>81</v>
      </c>
      <c r="K91" s="4" t="inlineStr">
        <is>
          <t>Де Поль</t>
        </is>
      </c>
      <c r="L91" s="4" t="inlineStr">
        <is>
          <t>ЦП</t>
        </is>
      </c>
      <c r="M91" s="4" t="n">
        <v>84</v>
      </c>
      <c r="P91" s="4" t="inlineStr">
        <is>
          <t>Бробби</t>
        </is>
      </c>
      <c r="Q91" s="4" t="inlineStr">
        <is>
          <t>ФРВ</t>
        </is>
      </c>
      <c r="R91" s="4" t="n">
        <v>78</v>
      </c>
      <c r="U91" s="4" t="inlineStr">
        <is>
          <t>Зубельдиа</t>
        </is>
      </c>
      <c r="V91" s="4" t="inlineStr">
        <is>
          <t>ЦЗ</t>
        </is>
      </c>
      <c r="W91" s="4" t="n">
        <v>80</v>
      </c>
      <c r="Z91" s="4" t="inlineStr">
        <is>
          <t>Джордан</t>
        </is>
      </c>
      <c r="AA91" s="4" t="inlineStr">
        <is>
          <t>ЦП</t>
        </is>
      </c>
      <c r="AB91" s="4" t="n">
        <v>80</v>
      </c>
      <c r="AE91" s="4" t="inlineStr">
        <is>
          <t>Адли</t>
        </is>
      </c>
      <c r="AF91" s="4" t="inlineStr">
        <is>
          <t>ФРВ</t>
        </is>
      </c>
      <c r="AG91" s="4" t="n">
        <v>77</v>
      </c>
      <c r="AJ91" s="4" t="inlineStr">
        <is>
          <t>Черны</t>
        </is>
      </c>
      <c r="AK91" s="4" t="inlineStr">
        <is>
          <t>ПФА</t>
        </is>
      </c>
      <c r="AL91" s="4" t="n">
        <v>79</v>
      </c>
    </row>
    <row r="92" ht="12" customHeight="1">
      <c r="A92" s="4" t="inlineStr">
        <is>
          <t>Милитао</t>
        </is>
      </c>
      <c r="B92" s="4" t="inlineStr">
        <is>
          <t>ЦЗ</t>
        </is>
      </c>
      <c r="C92" s="4" t="n">
        <v>82</v>
      </c>
      <c r="F92" s="4" t="inlineStr">
        <is>
          <t>Роберто</t>
        </is>
      </c>
      <c r="G92" s="4" t="inlineStr">
        <is>
          <t>ПЗ</t>
        </is>
      </c>
      <c r="H92" s="4" t="n">
        <v>80</v>
      </c>
      <c r="K92" s="4" t="inlineStr">
        <is>
          <t>Сауль</t>
        </is>
      </c>
      <c r="L92" s="4" t="inlineStr">
        <is>
          <t>ЦП</t>
        </is>
      </c>
      <c r="M92" s="4" t="n">
        <v>81</v>
      </c>
      <c r="P92" s="4" t="inlineStr">
        <is>
          <t>Де Маркос</t>
        </is>
      </c>
      <c r="Q92" s="4" t="inlineStr">
        <is>
          <t>ПЗ</t>
        </is>
      </c>
      <c r="R92" s="4" t="n">
        <v>78</v>
      </c>
      <c r="U92" s="4" t="inlineStr">
        <is>
          <t>Хорта</t>
        </is>
      </c>
      <c r="V92" s="4" t="inlineStr">
        <is>
          <t>ЦП</t>
        </is>
      </c>
      <c r="W92" s="4" t="n">
        <v>77</v>
      </c>
      <c r="Z92" s="4" t="inlineStr">
        <is>
          <t>Ламела</t>
        </is>
      </c>
      <c r="AA92" s="4" t="inlineStr">
        <is>
          <t>ПФА</t>
        </is>
      </c>
      <c r="AB92" s="4" t="n">
        <v>80</v>
      </c>
      <c r="AE92" s="4" t="inlineStr">
        <is>
          <t>Гутиеррез</t>
        </is>
      </c>
      <c r="AF92" s="4" t="inlineStr">
        <is>
          <t>ЛЗ</t>
        </is>
      </c>
      <c r="AG92" s="4" t="n">
        <v>75</v>
      </c>
      <c r="AJ92" s="4" t="inlineStr">
        <is>
          <t>Бартра</t>
        </is>
      </c>
      <c r="AK92" s="4" t="inlineStr">
        <is>
          <t>ЦЗ</t>
        </is>
      </c>
      <c r="AL92" s="4" t="n">
        <v>78</v>
      </c>
    </row>
    <row r="93" ht="12" customHeight="1">
      <c r="A93" s="4" t="inlineStr">
        <is>
          <t>Рюдигер</t>
        </is>
      </c>
      <c r="B93" s="4" t="inlineStr">
        <is>
          <t>ЦЗ</t>
        </is>
      </c>
      <c r="C93" s="4" t="n">
        <v>82</v>
      </c>
      <c r="F93" s="4" t="inlineStr">
        <is>
          <t>Уннерсталь</t>
        </is>
      </c>
      <c r="G93" s="4" t="inlineStr">
        <is>
          <t>ВРТ</t>
        </is>
      </c>
      <c r="H93" s="4" t="n">
        <v>80</v>
      </c>
      <c r="K93" s="4" t="inlineStr">
        <is>
          <t>Адамс</t>
        </is>
      </c>
      <c r="L93" s="4" t="inlineStr">
        <is>
          <t>ЦОП</t>
        </is>
      </c>
      <c r="M93" s="4" t="n">
        <v>78</v>
      </c>
      <c r="P93" s="4" t="inlineStr">
        <is>
          <t>Галаррета</t>
        </is>
      </c>
      <c r="Q93" s="4" t="inlineStr">
        <is>
          <t>ЦП</t>
        </is>
      </c>
      <c r="R93" s="4" t="n">
        <v>77</v>
      </c>
      <c r="U93" s="4" t="inlineStr">
        <is>
          <t>Десподов</t>
        </is>
      </c>
      <c r="V93" s="4" t="inlineStr">
        <is>
          <t>ПФА</t>
        </is>
      </c>
      <c r="W93" s="4" t="n">
        <v>76</v>
      </c>
      <c r="Z93" s="4" t="inlineStr">
        <is>
          <t>Ракитич</t>
        </is>
      </c>
      <c r="AA93" s="4" t="inlineStr">
        <is>
          <t>ЦОП</t>
        </is>
      </c>
      <c r="AB93" s="4" t="n">
        <v>80</v>
      </c>
      <c r="AE93" s="4" t="inlineStr">
        <is>
          <t>Порту</t>
        </is>
      </c>
      <c r="AF93" s="4" t="inlineStr">
        <is>
          <t>ПФА</t>
        </is>
      </c>
      <c r="AG93" s="4" t="n">
        <v>75</v>
      </c>
      <c r="AJ93" s="4" t="inlineStr">
        <is>
          <t>Скамака</t>
        </is>
      </c>
      <c r="AK93" s="4" t="inlineStr">
        <is>
          <t>ФРВ</t>
        </is>
      </c>
      <c r="AL93" s="4" t="n">
        <v>78</v>
      </c>
    </row>
    <row r="94" ht="12" customHeight="1">
      <c r="A94" s="4" t="inlineStr">
        <is>
          <t>Менди</t>
        </is>
      </c>
      <c r="B94" s="4" t="inlineStr">
        <is>
          <t>ЛЗ</t>
        </is>
      </c>
      <c r="C94" s="4" t="n">
        <v>80</v>
      </c>
      <c r="F94" s="4" t="inlineStr">
        <is>
          <t>Бард</t>
        </is>
      </c>
      <c r="G94" s="4" t="inlineStr">
        <is>
          <t>ЛЗ</t>
        </is>
      </c>
      <c r="H94" s="4" t="n">
        <v>77</v>
      </c>
      <c r="K94" s="4" t="inlineStr">
        <is>
          <t>Рикельме</t>
        </is>
      </c>
      <c r="L94" s="4" t="inlineStr">
        <is>
          <t>ЛФА</t>
        </is>
      </c>
      <c r="M94" s="4" t="n">
        <v>77</v>
      </c>
      <c r="P94" s="4" t="inlineStr">
        <is>
          <t>Гурузета</t>
        </is>
      </c>
      <c r="Q94" s="4" t="inlineStr">
        <is>
          <t>ФРВ</t>
        </is>
      </c>
      <c r="R94" s="4" t="n">
        <v>77</v>
      </c>
      <c r="U94" s="4" t="inlineStr">
        <is>
          <t>Барренечеа</t>
        </is>
      </c>
      <c r="V94" s="4" t="inlineStr">
        <is>
          <t>ЛФА</t>
        </is>
      </c>
      <c r="W94" s="4" t="n">
        <v>75</v>
      </c>
      <c r="Z94" s="4" t="inlineStr">
        <is>
          <t>Соу</t>
        </is>
      </c>
      <c r="AA94" s="4" t="inlineStr">
        <is>
          <t>ЦП</t>
        </is>
      </c>
      <c r="AB94" s="4" t="n">
        <v>78</v>
      </c>
      <c r="AE94" s="4" t="inlineStr">
        <is>
          <t>Чомерт</t>
        </is>
      </c>
      <c r="AF94" s="4" t="inlineStr">
        <is>
          <t>ЦЗ</t>
        </is>
      </c>
      <c r="AG94" s="4" t="n">
        <v>75</v>
      </c>
      <c r="AJ94" s="4" t="inlineStr">
        <is>
          <t>Актюркоглу</t>
        </is>
      </c>
      <c r="AK94" s="4" t="inlineStr">
        <is>
          <t>ЛФА</t>
        </is>
      </c>
      <c r="AL94" s="4" t="n">
        <v>77</v>
      </c>
    </row>
    <row r="95" ht="12" customHeight="1">
      <c r="A95" s="4" t="inlineStr">
        <is>
          <t>Юсуф Фофана</t>
        </is>
      </c>
      <c r="B95" s="4" t="inlineStr">
        <is>
          <t>ЦП</t>
        </is>
      </c>
      <c r="C95" s="4" t="n">
        <v>80</v>
      </c>
      <c r="F95" s="4" t="inlineStr">
        <is>
          <t>Дорли</t>
        </is>
      </c>
      <c r="G95" s="4" t="inlineStr">
        <is>
          <t>ЦП</t>
        </is>
      </c>
      <c r="H95" s="4" t="n">
        <v>76</v>
      </c>
      <c r="K95" s="4" t="inlineStr">
        <is>
          <t>Сёюнджю</t>
        </is>
      </c>
      <c r="L95" s="4" t="inlineStr">
        <is>
          <t>ЦЗ</t>
        </is>
      </c>
      <c r="M95" s="4" t="n">
        <v>77</v>
      </c>
      <c r="P95" s="4" t="inlineStr">
        <is>
          <t>Лерма</t>
        </is>
      </c>
      <c r="Q95" s="4" t="inlineStr">
        <is>
          <t>ЦП</t>
        </is>
      </c>
      <c r="R95" s="4" t="n">
        <v>77</v>
      </c>
      <c r="U95" s="4" t="inlineStr">
        <is>
          <t>Муньоз</t>
        </is>
      </c>
      <c r="V95" s="4" t="inlineStr">
        <is>
          <t>ЛЗ</t>
        </is>
      </c>
      <c r="W95" s="4" t="n">
        <v>72</v>
      </c>
      <c r="Z95" s="4" t="inlineStr">
        <is>
          <t>Сумаре</t>
        </is>
      </c>
      <c r="AA95" s="4" t="inlineStr">
        <is>
          <t>ЦОП</t>
        </is>
      </c>
      <c r="AB95" s="4" t="n">
        <v>75</v>
      </c>
      <c r="AE95" s="4" t="inlineStr">
        <is>
          <t>Валери</t>
        </is>
      </c>
      <c r="AF95" s="4" t="inlineStr">
        <is>
          <t>ПЗ</t>
        </is>
      </c>
      <c r="AG95" s="4" t="n">
        <v>73</v>
      </c>
      <c r="AJ95" s="4" t="inlineStr">
        <is>
          <t>Нельсон</t>
        </is>
      </c>
      <c r="AK95" s="4" t="inlineStr">
        <is>
          <t>ЦЗ</t>
        </is>
      </c>
      <c r="AL95" s="4" t="n">
        <v>77</v>
      </c>
    </row>
    <row r="96" ht="12" customHeight="1">
      <c r="A96" s="4" t="inlineStr">
        <is>
          <t>Калверт-Льюин</t>
        </is>
      </c>
      <c r="B96" s="4" t="inlineStr">
        <is>
          <t>ФРВ</t>
        </is>
      </c>
      <c r="C96" s="4" t="n">
        <v>77</v>
      </c>
      <c r="F96" s="4" t="inlineStr">
        <is>
          <t>Тавареш</t>
        </is>
      </c>
      <c r="G96" s="4" t="inlineStr">
        <is>
          <t>ЛЗ</t>
        </is>
      </c>
      <c r="H96" s="4" t="n">
        <v>76</v>
      </c>
      <c r="K96" s="4" t="inlineStr">
        <is>
          <t>Альварез</t>
        </is>
      </c>
      <c r="L96" s="4" t="inlineStr">
        <is>
          <t>ПЗ</t>
        </is>
      </c>
      <c r="M96" s="4" t="n">
        <v>75</v>
      </c>
      <c r="P96" s="4" t="inlineStr">
        <is>
          <t>Шапаренко</t>
        </is>
      </c>
      <c r="Q96" s="4" t="inlineStr">
        <is>
          <t>ЦП</t>
        </is>
      </c>
      <c r="R96" s="4" t="n">
        <v>77</v>
      </c>
      <c r="U96" s="4" t="inlineStr">
        <is>
          <t>Чо</t>
        </is>
      </c>
      <c r="V96" s="4" t="inlineStr">
        <is>
          <t>ФРВ</t>
        </is>
      </c>
      <c r="W96" s="4" t="n">
        <v>72</v>
      </c>
      <c r="Z96" s="4" t="inlineStr">
        <is>
          <t>Нианзу</t>
        </is>
      </c>
      <c r="AA96" s="4" t="inlineStr">
        <is>
          <t>ЦЗ</t>
        </is>
      </c>
      <c r="AB96" s="4" t="n">
        <v>73</v>
      </c>
      <c r="AE96" s="4" t="inlineStr">
        <is>
          <t>Торре</t>
        </is>
      </c>
      <c r="AF96" s="4" t="inlineStr">
        <is>
          <t>ЦАП</t>
        </is>
      </c>
      <c r="AG96" s="4" t="n">
        <v>70</v>
      </c>
      <c r="AJ96" s="4" t="inlineStr">
        <is>
          <t>Сабали</t>
        </is>
      </c>
      <c r="AK96" s="4" t="inlineStr">
        <is>
          <t>ПЗ</t>
        </is>
      </c>
      <c r="AL96" s="4" t="n">
        <v>77</v>
      </c>
    </row>
    <row r="97" ht="12" customHeight="1">
      <c r="A97" s="4" t="inlineStr">
        <is>
          <t>Поттер</t>
        </is>
      </c>
      <c r="B97" s="4" t="inlineStr">
        <is>
          <t>ЛФА</t>
        </is>
      </c>
      <c r="C97" s="4" t="n">
        <v>72</v>
      </c>
      <c r="F97" s="4" t="inlineStr">
        <is>
          <t>Огбу</t>
        </is>
      </c>
      <c r="G97" s="4" t="inlineStr">
        <is>
          <t>ЦЗ</t>
        </is>
      </c>
      <c r="H97" s="4" t="n">
        <v>75</v>
      </c>
      <c r="K97" s="4" t="inlineStr">
        <is>
          <t>Фернандо</t>
        </is>
      </c>
      <c r="L97" s="4" t="inlineStr">
        <is>
          <t>ФРВ</t>
        </is>
      </c>
      <c r="M97" s="4" t="n">
        <v>73</v>
      </c>
      <c r="P97" s="4" t="inlineStr">
        <is>
          <t>Иманол</t>
        </is>
      </c>
      <c r="Q97" s="4" t="inlineStr">
        <is>
          <t>ЛЗ</t>
        </is>
      </c>
      <c r="R97" s="4" t="n">
        <v>70</v>
      </c>
      <c r="U97" s="4" t="n"/>
      <c r="V97" s="4" t="n"/>
      <c r="W97" s="4" t="n"/>
      <c r="Z97" s="4" t="n"/>
      <c r="AA97" s="4" t="n"/>
      <c r="AB97" s="4" t="n"/>
      <c r="AE97" s="4" t="n"/>
      <c r="AF97" s="4" t="n"/>
      <c r="AG97" s="4" t="n"/>
      <c r="AJ97" s="4" t="n"/>
      <c r="AK97" s="4" t="n"/>
      <c r="AL97" s="4" t="n"/>
    </row>
    <row r="98" ht="12" customHeight="1">
      <c r="A98" s="4" t="n"/>
      <c r="B98" s="4" t="n"/>
      <c r="C98" s="4" t="n"/>
      <c r="F98" s="4" t="n"/>
      <c r="G98" s="4" t="n"/>
      <c r="H98" s="4" t="n"/>
      <c r="K98" s="4" t="n"/>
      <c r="L98" s="4" t="n"/>
      <c r="M98" s="4" t="n"/>
      <c r="P98" s="4" t="n"/>
      <c r="Q98" s="4" t="n"/>
      <c r="R98" s="4" t="n"/>
      <c r="U98" s="4" t="n"/>
      <c r="V98" s="4" t="n"/>
      <c r="W98" s="4" t="n"/>
      <c r="Z98" s="4" t="n"/>
      <c r="AA98" s="4" t="n"/>
      <c r="AB98" s="4" t="n"/>
      <c r="AE98" s="4" t="n"/>
      <c r="AF98" s="4" t="n"/>
      <c r="AG98" s="4" t="n"/>
      <c r="AJ98" s="4" t="n"/>
      <c r="AK98" s="4" t="n"/>
      <c r="AL98" s="4" t="n"/>
    </row>
    <row r="99" ht="12" customHeight="1">
      <c r="A99" s="4" t="n"/>
      <c r="B99" s="4" t="n"/>
      <c r="C99" s="4" t="n"/>
      <c r="F99" s="4" t="n"/>
      <c r="G99" s="4" t="n"/>
      <c r="H99" s="4" t="n"/>
      <c r="K99" s="4" t="n"/>
      <c r="L99" s="4" t="n"/>
      <c r="M99" s="4" t="n"/>
      <c r="P99" s="4" t="n"/>
      <c r="Q99" s="4" t="n"/>
      <c r="R99" s="4" t="n"/>
      <c r="U99" s="4" t="n"/>
      <c r="V99" s="4" t="n"/>
      <c r="W99" s="4" t="n"/>
      <c r="Z99" s="4" t="n"/>
      <c r="AA99" s="4" t="n"/>
      <c r="AB99" s="4" t="n"/>
      <c r="AE99" s="4" t="n"/>
      <c r="AF99" s="4" t="n"/>
      <c r="AG99" s="4" t="n"/>
      <c r="AJ99" s="4" t="n"/>
      <c r="AK99" s="4" t="n"/>
      <c r="AL99" s="4" t="n"/>
    </row>
    <row r="100" ht="12" customHeight="1"/>
    <row r="101" ht="12" customHeight="1"/>
    <row r="102" ht="12" customHeight="1">
      <c r="A102" s="2">
        <f>"Интер "&amp;MIN(5,SUMPRODUCT((LEN(A$104:A$132)&gt;0)*(ISERROR(MATCH(A$104:A$132,_orig!$Y$2:$Y$26,0)))))&amp;"/5 IN "&amp;MIN(5,SUMPRODUCT((LEN(_orig!$Y$2:$Y$26)&gt;0)*(ISERROR(MATCH(_orig!$Y$2:$Y$26,A$104:A$132,0)))))&amp;"/5 OUT"</f>
        <v/>
      </c>
      <c r="F102" s="2">
        <f>"Милан "&amp;MIN(5,SUMPRODUCT((LEN(F$104:F$132)&gt;0)*(ISERROR(MATCH(F$104:F$132,_orig!$Z$2:$Z$28,0)))))&amp;"/5 IN "&amp;MIN(5,SUMPRODUCT((LEN(_orig!$Z$2:$Z$28)&gt;0)*(ISERROR(MATCH(_orig!$Z$2:$Z$28,F$104:F$132,0)))))&amp;"/5 OUT"</f>
        <v/>
      </c>
      <c r="K102" s="2">
        <f>"Ювентус "&amp;MIN(5,SUMPRODUCT((LEN(K$104:K$132)&gt;0)*(ISERROR(MATCH(K$104:K$132,_orig!$AA$2:$AA$25,0)))))&amp;"/5 IN "&amp;MIN(5,SUMPRODUCT((LEN(_orig!$AA$2:$AA$25)&gt;0)*(ISERROR(MATCH(_orig!$AA$2:$AA$25,K$104:K$132,0)))))&amp;"/5 OUT"</f>
        <v/>
      </c>
      <c r="P102" s="2">
        <f>"Наполи "&amp;MIN(5,SUMPRODUCT((LEN(P$104:P$132)&gt;0)*(ISERROR(MATCH(P$104:P$132,_orig!$AB$2:$AB$25,0)))))&amp;"/5 IN "&amp;MIN(5,SUMPRODUCT((LEN(_orig!$AB$2:$AB$25)&gt;0)*(ISERROR(MATCH(_orig!$AB$2:$AB$25,P$104:P$132,0)))))&amp;"/5 OUT"</f>
        <v/>
      </c>
      <c r="U102" s="2">
        <f>"Аталанта "&amp;MIN(5,SUMPRODUCT((LEN(U$104:U$132)&gt;0)*(ISERROR(MATCH(U$104:U$132,_orig!$AC$2:$AC$25,0)))))&amp;"/5 IN "&amp;MIN(5,SUMPRODUCT((LEN(_orig!$AC$2:$AC$25)&gt;0)*(ISERROR(MATCH(_orig!$AC$2:$AC$25,U$104:U$132,0)))))&amp;"/5 OUT"</f>
        <v/>
      </c>
      <c r="Z102" s="2">
        <f>"Фиорентина "&amp;MIN(5,SUMPRODUCT((LEN(Z$104:Z$132)&gt;0)*(ISERROR(MATCH(Z$104:Z$132,_orig!$AD$2:$AD$27,0)))))&amp;"/5 IN "&amp;MIN(5,SUMPRODUCT((LEN(_orig!$AD$2:$AD$27)&gt;0)*(ISERROR(MATCH(_orig!$AD$2:$AD$27,Z$104:Z$132,0)))))&amp;"/5 OUT"</f>
        <v/>
      </c>
      <c r="AE102" s="2">
        <f>"Лацио "&amp;MIN(5,SUMPRODUCT((LEN(AE$104:AE$132)&gt;0)*(ISERROR(MATCH(AE$104:AE$132,_orig!$AE$2:$AE$24,0)))))&amp;"/5 IN "&amp;MIN(5,SUMPRODUCT((LEN(_orig!$AE$2:$AE$24)&gt;0)*(ISERROR(MATCH(_orig!$AE$2:$AE$24,AE$104:AE$132,0)))))&amp;"/5 OUT"</f>
        <v/>
      </c>
      <c r="AJ102" s="2">
        <f>"Рома "&amp;MIN(5,SUMPRODUCT((LEN(AJ$104:AJ$132)&gt;0)*(ISERROR(MATCH(AJ$104:AJ$132,_orig!$AF$2:$AF$26,0)))))&amp;"/5 IN "&amp;MIN(5,SUMPRODUCT((LEN(_orig!$AF$2:$AF$26)&gt;0)*(ISERROR(MATCH(_orig!$AF$2:$AF$26,AJ$104:AJ$132,0)))))&amp;"/5 OUT"</f>
        <v/>
      </c>
    </row>
    <row r="103" ht="12" customHeight="1">
      <c r="B103" s="3" t="inlineStr">
        <is>
          <t>старт</t>
        </is>
      </c>
      <c r="G103" s="3" t="inlineStr">
        <is>
          <t>старт</t>
        </is>
      </c>
      <c r="L103" s="3" t="inlineStr">
        <is>
          <t>старт</t>
        </is>
      </c>
      <c r="Q103" s="3" t="inlineStr">
        <is>
          <t>старт</t>
        </is>
      </c>
      <c r="V103" s="3" t="inlineStr">
        <is>
          <t>старт</t>
        </is>
      </c>
      <c r="AA103" s="3" t="inlineStr">
        <is>
          <t>старт</t>
        </is>
      </c>
      <c r="AF103" s="3" t="inlineStr">
        <is>
          <t>старт</t>
        </is>
      </c>
      <c r="AK103" s="3" t="inlineStr">
        <is>
          <t>старт</t>
        </is>
      </c>
    </row>
    <row r="104" ht="12" customHeight="1">
      <c r="A104" s="4" t="inlineStr">
        <is>
          <t>Берарди</t>
        </is>
      </c>
      <c r="B104" s="4" t="inlineStr">
        <is>
          <t>ПП</t>
        </is>
      </c>
      <c r="C104" s="4" t="n">
        <v>90</v>
      </c>
      <c r="F104" s="4" t="inlineStr">
        <is>
          <t>Бензема</t>
        </is>
      </c>
      <c r="G104" s="4" t="inlineStr">
        <is>
          <t>ФРВ</t>
        </is>
      </c>
      <c r="H104" s="4" t="n">
        <v>90</v>
      </c>
      <c r="K104" s="4" t="inlineStr">
        <is>
          <t>Влашич</t>
        </is>
      </c>
      <c r="L104" s="4" t="inlineStr">
        <is>
          <t>ЦАП</t>
        </is>
      </c>
      <c r="M104" s="4" t="n">
        <v>88</v>
      </c>
      <c r="P104" s="4" t="inlineStr">
        <is>
          <t>Квара</t>
        </is>
      </c>
      <c r="Q104" s="4" t="inlineStr">
        <is>
          <t>ЛФА</t>
        </is>
      </c>
      <c r="R104" s="4" t="n">
        <v>90</v>
      </c>
      <c r="U104" s="4" t="inlineStr">
        <is>
          <t>Чесны</t>
        </is>
      </c>
      <c r="V104" s="4" t="inlineStr">
        <is>
          <t>ВРТ</t>
        </is>
      </c>
      <c r="W104" s="4" t="n">
        <v>89</v>
      </c>
      <c r="Z104" s="4" t="inlineStr">
        <is>
          <t>Гонзалез</t>
        </is>
      </c>
      <c r="AA104" s="4" t="inlineStr">
        <is>
          <t>ПФА</t>
        </is>
      </c>
      <c r="AB104" s="4" t="n">
        <v>83</v>
      </c>
      <c r="AE104" s="4" t="inlineStr">
        <is>
          <t>Дардер</t>
        </is>
      </c>
      <c r="AF104" s="4" t="inlineStr">
        <is>
          <t>ЦП</t>
        </is>
      </c>
      <c r="AG104" s="4" t="n">
        <v>83</v>
      </c>
      <c r="AJ104" s="4" t="inlineStr">
        <is>
          <t>Гнабри</t>
        </is>
      </c>
      <c r="AK104" s="4" t="inlineStr">
        <is>
          <t>ЛФА</t>
        </is>
      </c>
      <c r="AL104" s="4" t="n">
        <v>87</v>
      </c>
    </row>
    <row r="105" ht="12" customHeight="1">
      <c r="A105" s="4" t="inlineStr">
        <is>
          <t>Зоммер</t>
        </is>
      </c>
      <c r="B105" s="4" t="inlineStr">
        <is>
          <t>ВРТ</t>
        </is>
      </c>
      <c r="C105" s="4" t="n">
        <v>90</v>
      </c>
      <c r="F105" s="4" t="inlineStr">
        <is>
          <t>Вини</t>
        </is>
      </c>
      <c r="G105" s="4" t="inlineStr">
        <is>
          <t>ЛФА</t>
        </is>
      </c>
      <c r="H105" s="4" t="n">
        <v>88</v>
      </c>
      <c r="K105" s="4" t="inlineStr">
        <is>
          <t>Проведель</t>
        </is>
      </c>
      <c r="L105" s="4" t="inlineStr">
        <is>
          <t>ВРТ</t>
        </is>
      </c>
      <c r="M105" s="4" t="n">
        <v>88</v>
      </c>
      <c r="P105" s="4" t="inlineStr">
        <is>
          <t>Осимен</t>
        </is>
      </c>
      <c r="Q105" s="4" t="inlineStr">
        <is>
          <t>ФРВ</t>
        </is>
      </c>
      <c r="R105" s="4" t="n">
        <v>90</v>
      </c>
      <c r="U105" s="4" t="inlineStr">
        <is>
          <t>Миранчук</t>
        </is>
      </c>
      <c r="V105" s="4" t="inlineStr">
        <is>
          <t>ФРВ</t>
        </is>
      </c>
      <c r="W105" s="4" t="n">
        <v>86</v>
      </c>
      <c r="Z105" s="4" t="inlineStr">
        <is>
          <t>Секу Фофана</t>
        </is>
      </c>
      <c r="AA105" s="4" t="inlineStr">
        <is>
          <t>ЦП</t>
        </is>
      </c>
      <c r="AB105" s="4" t="n">
        <v>82</v>
      </c>
      <c r="AE105" s="4" t="inlineStr">
        <is>
          <t>Торрес</t>
        </is>
      </c>
      <c r="AF105" s="4" t="inlineStr">
        <is>
          <t>ЛФА</t>
        </is>
      </c>
      <c r="AG105" s="4" t="n">
        <v>82</v>
      </c>
      <c r="AJ105" s="4" t="inlineStr">
        <is>
          <t>Пеллегрини</t>
        </is>
      </c>
      <c r="AK105" s="4" t="inlineStr">
        <is>
          <t>ЦАП</t>
        </is>
      </c>
      <c r="AL105" s="4" t="n">
        <v>85</v>
      </c>
    </row>
    <row r="106" ht="12" customHeight="1">
      <c r="A106" s="4" t="inlineStr">
        <is>
          <t>Мартинез</t>
        </is>
      </c>
      <c r="B106" s="4" t="inlineStr">
        <is>
          <t>ФРВ</t>
        </is>
      </c>
      <c r="C106" s="4" t="n">
        <v>90</v>
      </c>
      <c r="F106" s="4" t="inlineStr">
        <is>
          <t>Терраччано</t>
        </is>
      </c>
      <c r="G106" s="4" t="inlineStr">
        <is>
          <t>ВРТ</t>
        </is>
      </c>
      <c r="H106" s="4" t="n">
        <v>88</v>
      </c>
      <c r="K106" s="4" t="inlineStr">
        <is>
          <t>Костич</t>
        </is>
      </c>
      <c r="L106" s="4" t="inlineStr">
        <is>
          <t>ПФА</t>
        </is>
      </c>
      <c r="M106" s="4" t="n">
        <v>87</v>
      </c>
      <c r="P106" s="4" t="inlineStr">
        <is>
          <t>Мерет</t>
        </is>
      </c>
      <c r="Q106" s="4" t="inlineStr">
        <is>
          <t>ВРТ</t>
        </is>
      </c>
      <c r="R106" s="4" t="n">
        <v>87</v>
      </c>
      <c r="U106" s="4" t="inlineStr">
        <is>
          <t>Муриэль</t>
        </is>
      </c>
      <c r="V106" s="4" t="inlineStr">
        <is>
          <t>ПФА</t>
        </is>
      </c>
      <c r="W106" s="4" t="n">
        <v>85</v>
      </c>
      <c r="Z106" s="4" t="inlineStr">
        <is>
          <t>Нзола</t>
        </is>
      </c>
      <c r="AA106" s="4" t="inlineStr">
        <is>
          <t>ЛФА</t>
        </is>
      </c>
      <c r="AB106" s="4" t="n">
        <v>81</v>
      </c>
      <c r="AE106" s="4" t="inlineStr">
        <is>
          <t>Камада</t>
        </is>
      </c>
      <c r="AF106" s="4" t="inlineStr">
        <is>
          <t>ЦАП</t>
        </is>
      </c>
      <c r="AG106" s="4" t="n">
        <v>81</v>
      </c>
      <c r="AJ106" s="4" t="inlineStr">
        <is>
          <t>Патрисио</t>
        </is>
      </c>
      <c r="AK106" s="4" t="inlineStr">
        <is>
          <t>ВРТ</t>
        </is>
      </c>
      <c r="AL106" s="4" t="n">
        <v>84</v>
      </c>
    </row>
    <row r="107" ht="12" customHeight="1">
      <c r="A107" s="4" t="inlineStr">
        <is>
          <t>Барелла</t>
        </is>
      </c>
      <c r="B107" s="4" t="inlineStr">
        <is>
          <t>ЦП</t>
        </is>
      </c>
      <c r="C107" s="4" t="n">
        <v>89</v>
      </c>
      <c r="F107" s="4" t="inlineStr">
        <is>
          <t>Беннасер</t>
        </is>
      </c>
      <c r="G107" s="4" t="inlineStr">
        <is>
          <t>ЦП</t>
        </is>
      </c>
      <c r="H107" s="4" t="n">
        <v>84</v>
      </c>
      <c r="K107" s="4" t="inlineStr">
        <is>
          <t>Кьеза</t>
        </is>
      </c>
      <c r="L107" s="4" t="inlineStr">
        <is>
          <t>ЛФА</t>
        </is>
      </c>
      <c r="M107" s="4" t="n">
        <v>87</v>
      </c>
      <c r="P107" s="4" t="inlineStr">
        <is>
          <t>Лоботка</t>
        </is>
      </c>
      <c r="Q107" s="4" t="inlineStr">
        <is>
          <t>ЦП</t>
        </is>
      </c>
      <c r="R107" s="4" t="n">
        <v>86</v>
      </c>
      <c r="U107" s="4" t="inlineStr">
        <is>
          <t>Орбан</t>
        </is>
      </c>
      <c r="V107" s="4" t="inlineStr">
        <is>
          <t>ЦЗ</t>
        </is>
      </c>
      <c r="W107" s="4" t="n">
        <v>83</v>
      </c>
      <c r="Z107" s="4" t="inlineStr">
        <is>
          <t>Мингз</t>
        </is>
      </c>
      <c r="AA107" s="4" t="inlineStr">
        <is>
          <t>ЦЗ</t>
        </is>
      </c>
      <c r="AB107" s="4" t="n">
        <v>79</v>
      </c>
      <c r="AE107" s="4" t="inlineStr">
        <is>
          <t>Иммобиле</t>
        </is>
      </c>
      <c r="AF107" s="4" t="inlineStr">
        <is>
          <t>ФРВ</t>
        </is>
      </c>
      <c r="AG107" s="4" t="n">
        <v>80</v>
      </c>
      <c r="AJ107" s="4" t="inlineStr">
        <is>
          <t>Азмун</t>
        </is>
      </c>
      <c r="AK107" s="4" t="inlineStr">
        <is>
          <t>ФРВ</t>
        </is>
      </c>
      <c r="AL107" s="4" t="n">
        <v>83</v>
      </c>
    </row>
    <row r="108" ht="12" customHeight="1">
      <c r="A108" s="4" t="inlineStr">
        <is>
          <t>Арнаутович</t>
        </is>
      </c>
      <c r="B108" s="4" t="inlineStr">
        <is>
          <t>ФРВ</t>
        </is>
      </c>
      <c r="C108" s="4" t="n">
        <v>87</v>
      </c>
      <c r="F108" s="4" t="inlineStr">
        <is>
          <t>Хакими</t>
        </is>
      </c>
      <c r="G108" s="4" t="inlineStr">
        <is>
          <t>ПЗ</t>
        </is>
      </c>
      <c r="H108" s="4" t="n">
        <v>84</v>
      </c>
      <c r="K108" s="4" t="inlineStr">
        <is>
          <t>Альба</t>
        </is>
      </c>
      <c r="L108" s="4" t="inlineStr">
        <is>
          <t>ЛЗ</t>
        </is>
      </c>
      <c r="M108" s="4" t="n">
        <v>84</v>
      </c>
      <c r="P108" s="4" t="inlineStr">
        <is>
          <t>Рахмани</t>
        </is>
      </c>
      <c r="Q108" s="4" t="inlineStr">
        <is>
          <t>ЦЗ</t>
        </is>
      </c>
      <c r="R108" s="4" t="n">
        <v>86</v>
      </c>
      <c r="U108" s="4" t="inlineStr">
        <is>
          <t>Пашалич</t>
        </is>
      </c>
      <c r="V108" s="4" t="inlineStr">
        <is>
          <t>ЦАП</t>
        </is>
      </c>
      <c r="W108" s="4" t="n">
        <v>83</v>
      </c>
      <c r="Z108" s="4" t="inlineStr">
        <is>
          <t>Садик</t>
        </is>
      </c>
      <c r="AA108" s="4" t="inlineStr">
        <is>
          <t>ФРВ</t>
        </is>
      </c>
      <c r="AB108" s="4" t="n">
        <v>79</v>
      </c>
      <c r="AE108" s="4" t="inlineStr">
        <is>
          <t>Лаззари</t>
        </is>
      </c>
      <c r="AF108" s="4" t="inlineStr">
        <is>
          <t>ПЗ</t>
        </is>
      </c>
      <c r="AG108" s="4" t="n">
        <v>80</v>
      </c>
      <c r="AJ108" s="4" t="inlineStr">
        <is>
          <t>Кристанте</t>
        </is>
      </c>
      <c r="AK108" s="4" t="inlineStr">
        <is>
          <t>ЦП</t>
        </is>
      </c>
      <c r="AL108" s="4" t="n">
        <v>83</v>
      </c>
    </row>
    <row r="109" ht="12" customHeight="1">
      <c r="A109" s="4" t="inlineStr">
        <is>
          <t>Думфрис</t>
        </is>
      </c>
      <c r="B109" s="4" t="inlineStr">
        <is>
          <t>ПЗ</t>
        </is>
      </c>
      <c r="C109" s="4" t="n">
        <v>86</v>
      </c>
      <c r="F109" s="4" t="inlineStr">
        <is>
          <t>Ангисса</t>
        </is>
      </c>
      <c r="G109" s="4" t="inlineStr">
        <is>
          <t>ЦОП</t>
        </is>
      </c>
      <c r="H109" s="4" t="n">
        <v>83</v>
      </c>
      <c r="K109" s="4" t="inlineStr">
        <is>
          <t>Эн-Несри</t>
        </is>
      </c>
      <c r="L109" s="4" t="inlineStr">
        <is>
          <t>ФРВ</t>
        </is>
      </c>
      <c r="M109" s="4" t="n">
        <v>84</v>
      </c>
      <c r="P109" s="4" t="inlineStr">
        <is>
          <t>Романьоли</t>
        </is>
      </c>
      <c r="Q109" s="4" t="inlineStr">
        <is>
          <t>ЦЗ</t>
        </is>
      </c>
      <c r="R109" s="4" t="n">
        <v>86</v>
      </c>
      <c r="U109" s="4" t="inlineStr">
        <is>
          <t>Симонс</t>
        </is>
      </c>
      <c r="V109" s="4" t="inlineStr">
        <is>
          <t>ЛФА</t>
        </is>
      </c>
      <c r="W109" s="4" t="n">
        <v>83</v>
      </c>
      <c r="Z109" s="4" t="inlineStr">
        <is>
          <t>Бираги</t>
        </is>
      </c>
      <c r="AA109" s="4" t="inlineStr">
        <is>
          <t>ЛЗ</t>
        </is>
      </c>
      <c r="AB109" s="4" t="n">
        <v>78</v>
      </c>
      <c r="AE109" s="4" t="inlineStr">
        <is>
          <t>Фраттези</t>
        </is>
      </c>
      <c r="AF109" s="4" t="inlineStr">
        <is>
          <t>ЦП</t>
        </is>
      </c>
      <c r="AG109" s="4" t="n">
        <v>80</v>
      </c>
      <c r="AJ109" s="4" t="inlineStr">
        <is>
          <t>Манчини</t>
        </is>
      </c>
      <c r="AK109" s="4" t="inlineStr">
        <is>
          <t>ЦЗ</t>
        </is>
      </c>
      <c r="AL109" s="4" t="n">
        <v>83</v>
      </c>
    </row>
    <row r="110" ht="12" customHeight="1">
      <c r="A110" s="4" t="inlineStr">
        <is>
          <t>Чалханоглу</t>
        </is>
      </c>
      <c r="B110" s="4" t="inlineStr">
        <is>
          <t>ЦП</t>
        </is>
      </c>
      <c r="C110" s="4" t="n">
        <v>86</v>
      </c>
      <c r="F110" s="4" t="inlineStr">
        <is>
          <t>Рейндерс</t>
        </is>
      </c>
      <c r="G110" s="4" t="inlineStr">
        <is>
          <t>ЦП</t>
        </is>
      </c>
      <c r="H110" s="4" t="n">
        <v>83</v>
      </c>
      <c r="K110" s="4" t="inlineStr">
        <is>
          <t>Инасиу</t>
        </is>
      </c>
      <c r="L110" s="4" t="inlineStr">
        <is>
          <t>ЦЗ</t>
        </is>
      </c>
      <c r="M110" s="4" t="n">
        <v>82</v>
      </c>
      <c r="P110" s="4" t="inlineStr">
        <is>
          <t>Сака</t>
        </is>
      </c>
      <c r="Q110" s="4" t="inlineStr">
        <is>
          <t>ПФА</t>
        </is>
      </c>
      <c r="R110" s="4" t="n">
        <v>86</v>
      </c>
      <c r="U110" s="4" t="inlineStr">
        <is>
          <t>Гайа</t>
        </is>
      </c>
      <c r="V110" s="4" t="inlineStr">
        <is>
          <t>ПЗ</t>
        </is>
      </c>
      <c r="W110" s="4" t="n">
        <v>82</v>
      </c>
      <c r="Z110" s="4" t="inlineStr">
        <is>
          <t>Ворд-Прауз</t>
        </is>
      </c>
      <c r="AA110" s="4" t="inlineStr">
        <is>
          <t>ЦП</t>
        </is>
      </c>
      <c r="AB110" s="4" t="n">
        <v>78</v>
      </c>
      <c r="AE110" s="4" t="inlineStr">
        <is>
          <t>Бейси</t>
        </is>
      </c>
      <c r="AF110" s="4" t="inlineStr">
        <is>
          <t>ЦЗ</t>
        </is>
      </c>
      <c r="AG110" s="4" t="n">
        <v>77</v>
      </c>
      <c r="AJ110" s="4" t="inlineStr">
        <is>
          <t>Карсдорп</t>
        </is>
      </c>
      <c r="AK110" s="4" t="inlineStr">
        <is>
          <t>ПЗ</t>
        </is>
      </c>
      <c r="AL110" s="4" t="n">
        <v>81</v>
      </c>
    </row>
    <row r="111" ht="12" customHeight="1">
      <c r="A111" s="4" t="inlineStr">
        <is>
          <t>Бастони</t>
        </is>
      </c>
      <c r="B111" s="4" t="inlineStr">
        <is>
          <t>ЦЗ</t>
        </is>
      </c>
      <c r="C111" s="4" t="n">
        <v>85</v>
      </c>
      <c r="F111" s="4" t="inlineStr">
        <is>
          <t>Чуквуезе</t>
        </is>
      </c>
      <c r="G111" s="4" t="inlineStr">
        <is>
          <t>ПФА</t>
        </is>
      </c>
      <c r="H111" s="4" t="n">
        <v>82</v>
      </c>
      <c r="K111" s="4" t="inlineStr">
        <is>
          <t>Бах</t>
        </is>
      </c>
      <c r="L111" s="4" t="inlineStr">
        <is>
          <t>ПЗ</t>
        </is>
      </c>
      <c r="M111" s="4" t="n">
        <v>80</v>
      </c>
      <c r="P111" s="4" t="inlineStr">
        <is>
          <t>Люка Эрнандез</t>
        </is>
      </c>
      <c r="Q111" s="4" t="inlineStr">
        <is>
          <t>ЛЗ</t>
        </is>
      </c>
      <c r="R111" s="4" t="n">
        <v>85</v>
      </c>
      <c r="U111" s="4" t="inlineStr">
        <is>
          <t>Антониу Сильва</t>
        </is>
      </c>
      <c r="V111" s="4" t="inlineStr">
        <is>
          <t>ЦЗ</t>
        </is>
      </c>
      <c r="W111" s="4" t="n">
        <v>80</v>
      </c>
      <c r="Z111" s="4" t="inlineStr">
        <is>
          <t>Сафонов</t>
        </is>
      </c>
      <c r="AA111" s="4" t="inlineStr">
        <is>
          <t>ВРТ</t>
        </is>
      </c>
      <c r="AB111" s="4" t="n">
        <v>78</v>
      </c>
      <c r="AE111" s="4" t="inlineStr">
        <is>
          <t>Касале</t>
        </is>
      </c>
      <c r="AF111" s="4" t="inlineStr">
        <is>
          <t>ЦЗ</t>
        </is>
      </c>
      <c r="AG111" s="4" t="n">
        <v>77</v>
      </c>
      <c r="AJ111" s="4" t="inlineStr">
        <is>
          <t>Пакета</t>
        </is>
      </c>
      <c r="AK111" s="4" t="inlineStr">
        <is>
          <t>ЦАП</t>
        </is>
      </c>
      <c r="AL111" s="4" t="n">
        <v>81</v>
      </c>
    </row>
    <row r="112" ht="12" customHeight="1">
      <c r="A112" s="4" t="inlineStr">
        <is>
          <t>Димарко</t>
        </is>
      </c>
      <c r="B112" s="4" t="inlineStr">
        <is>
          <t>ЛЗ</t>
        </is>
      </c>
      <c r="C112" s="4" t="n">
        <v>85</v>
      </c>
      <c r="F112" s="4" t="inlineStr">
        <is>
          <t>Эрнандез</t>
        </is>
      </c>
      <c r="G112" s="4" t="inlineStr">
        <is>
          <t>ЛЗ</t>
        </is>
      </c>
      <c r="H112" s="4" t="n">
        <v>82</v>
      </c>
      <c r="K112" s="4" t="inlineStr">
        <is>
          <t>Заир-Эмери</t>
        </is>
      </c>
      <c r="L112" s="4" t="inlineStr">
        <is>
          <t>ЦП</t>
        </is>
      </c>
      <c r="M112" s="4" t="n">
        <v>80</v>
      </c>
      <c r="P112" s="4" t="inlineStr">
        <is>
          <t>Ди Лоренцо</t>
        </is>
      </c>
      <c r="Q112" s="4" t="inlineStr">
        <is>
          <t>ПЗ</t>
        </is>
      </c>
      <c r="R112" s="4" t="n">
        <v>84</v>
      </c>
      <c r="U112" s="4" t="inlineStr">
        <is>
          <t>Илич</t>
        </is>
      </c>
      <c r="V112" s="4" t="inlineStr">
        <is>
          <t>ЦП</t>
        </is>
      </c>
      <c r="W112" s="4" t="n">
        <v>80</v>
      </c>
      <c r="Z112" s="4" t="inlineStr">
        <is>
          <t>Нуньез</t>
        </is>
      </c>
      <c r="AA112" s="4" t="inlineStr">
        <is>
          <t>ЦЗ</t>
        </is>
      </c>
      <c r="AB112" s="4" t="n">
        <v>77</v>
      </c>
      <c r="AE112" s="4" t="inlineStr">
        <is>
          <t>Машадо</t>
        </is>
      </c>
      <c r="AF112" s="4" t="inlineStr">
        <is>
          <t>ЛЗ</t>
        </is>
      </c>
      <c r="AG112" s="4" t="n">
        <v>77</v>
      </c>
      <c r="AJ112" s="4" t="inlineStr">
        <is>
          <t>Спиназолла</t>
        </is>
      </c>
      <c r="AK112" s="4" t="inlineStr">
        <is>
          <t>ЛЗ</t>
        </is>
      </c>
      <c r="AL112" s="4" t="n">
        <v>81</v>
      </c>
    </row>
    <row r="113" ht="12" customHeight="1">
      <c r="A113" s="4" t="inlineStr">
        <is>
          <t>Мхитарян</t>
        </is>
      </c>
      <c r="B113" s="4" t="inlineStr">
        <is>
          <t>ЛП</t>
        </is>
      </c>
      <c r="C113" s="4" t="n">
        <v>85</v>
      </c>
      <c r="F113" s="4" t="inlineStr">
        <is>
          <t>Томори</t>
        </is>
      </c>
      <c r="G113" s="4" t="inlineStr">
        <is>
          <t>ЦЗ</t>
        </is>
      </c>
      <c r="H113" s="4" t="n">
        <v>79</v>
      </c>
      <c r="K113" s="4" t="inlineStr">
        <is>
          <t>Рейс</t>
        </is>
      </c>
      <c r="L113" s="4" t="inlineStr">
        <is>
          <t>ЦЗ</t>
        </is>
      </c>
      <c r="M113" s="4" t="n">
        <v>80</v>
      </c>
      <c r="P113" s="4" t="inlineStr">
        <is>
          <t>Невеш</t>
        </is>
      </c>
      <c r="Q113" s="4" t="inlineStr">
        <is>
          <t>ЦОП</t>
        </is>
      </c>
      <c r="R113" s="4" t="n">
        <v>82</v>
      </c>
      <c r="U113" s="4" t="inlineStr">
        <is>
          <t>Хатебур</t>
        </is>
      </c>
      <c r="V113" s="4" t="inlineStr">
        <is>
          <t>ЛЗ</t>
        </is>
      </c>
      <c r="W113" s="4" t="n">
        <v>80</v>
      </c>
      <c r="Z113" s="4" t="inlineStr">
        <is>
          <t>Эллиотт</t>
        </is>
      </c>
      <c r="AA113" s="4" t="inlineStr">
        <is>
          <t>ЦАП</t>
        </is>
      </c>
      <c r="AB113" s="4" t="n">
        <v>77</v>
      </c>
      <c r="AE113" s="4" t="inlineStr">
        <is>
          <t>Шунин</t>
        </is>
      </c>
      <c r="AF113" s="4" t="inlineStr">
        <is>
          <t>ВРТ</t>
        </is>
      </c>
      <c r="AG113" s="4" t="n">
        <v>77</v>
      </c>
      <c r="AJ113" s="4" t="inlineStr">
        <is>
          <t>Ндика</t>
        </is>
      </c>
      <c r="AK113" s="4" t="inlineStr">
        <is>
          <t>ЦЗ</t>
        </is>
      </c>
      <c r="AL113" s="4" t="n">
        <v>78</v>
      </c>
    </row>
    <row r="114" ht="12" customHeight="1">
      <c r="A114" s="4" t="inlineStr">
        <is>
          <t>Кулибали</t>
        </is>
      </c>
      <c r="B114" s="4" t="inlineStr">
        <is>
          <t>ЦЗ</t>
        </is>
      </c>
      <c r="C114" s="4" t="n">
        <v>84</v>
      </c>
      <c r="F114" s="4" t="inlineStr">
        <is>
          <t>Тапсоба</t>
        </is>
      </c>
      <c r="G114" s="4" t="inlineStr">
        <is>
          <t>ЦЗ</t>
        </is>
      </c>
      <c r="H114" s="4" t="n">
        <v>77</v>
      </c>
      <c r="K114" s="4" t="inlineStr">
        <is>
          <t>Фаджиоли</t>
        </is>
      </c>
      <c r="L114" s="4" t="inlineStr">
        <is>
          <t>ЦП</t>
        </is>
      </c>
      <c r="M114" s="4" t="n">
        <v>80</v>
      </c>
      <c r="P114" s="4" t="inlineStr">
        <is>
          <t>Элмас</t>
        </is>
      </c>
      <c r="Q114" s="4" t="inlineStr">
        <is>
          <t>ЦП</t>
        </is>
      </c>
      <c r="R114" s="4" t="n">
        <v>80</v>
      </c>
      <c r="U114" s="4" t="inlineStr">
        <is>
          <t>Торрес</t>
        </is>
      </c>
      <c r="V114" s="4" t="inlineStr">
        <is>
          <t>ЦП</t>
        </is>
      </c>
      <c r="W114" s="4" t="n">
        <v>79</v>
      </c>
      <c r="Z114" s="4" t="inlineStr">
        <is>
          <t>Додо</t>
        </is>
      </c>
      <c r="AA114" s="4" t="inlineStr">
        <is>
          <t>ПЗ</t>
        </is>
      </c>
      <c r="AB114" s="4" t="n">
        <v>75</v>
      </c>
      <c r="AE114" s="4" t="inlineStr">
        <is>
          <t>Андерсон</t>
        </is>
      </c>
      <c r="AF114" s="4" t="inlineStr">
        <is>
          <t>ПФА</t>
        </is>
      </c>
      <c r="AG114" s="4" t="n">
        <v>75</v>
      </c>
      <c r="AJ114" s="4" t="inlineStr">
        <is>
          <t>Пайшао</t>
        </is>
      </c>
      <c r="AK114" s="4" t="inlineStr">
        <is>
          <t>ЛФА</t>
        </is>
      </c>
      <c r="AL114" s="4" t="n">
        <v>78</v>
      </c>
    </row>
    <row r="115" ht="12" customHeight="1">
      <c r="B115" s="3" t="inlineStr">
        <is>
          <t>запас</t>
        </is>
      </c>
      <c r="G115" s="3" t="inlineStr">
        <is>
          <t>запас</t>
        </is>
      </c>
      <c r="L115" s="3" t="inlineStr">
        <is>
          <t>запас</t>
        </is>
      </c>
      <c r="Q115" s="3" t="inlineStr">
        <is>
          <t>запас</t>
        </is>
      </c>
      <c r="V115" s="3" t="inlineStr">
        <is>
          <t>запас</t>
        </is>
      </c>
      <c r="AA115" s="3" t="inlineStr">
        <is>
          <t>запас</t>
        </is>
      </c>
      <c r="AF115" s="3" t="inlineStr">
        <is>
          <t>запас</t>
        </is>
      </c>
      <c r="AK115" s="3" t="inlineStr">
        <is>
          <t>запас</t>
        </is>
      </c>
    </row>
    <row r="116" ht="12" customHeight="1">
      <c r="A116" s="4" t="inlineStr">
        <is>
          <t>Грилиш</t>
        </is>
      </c>
      <c r="B116" s="4" t="inlineStr">
        <is>
          <t>ЛП</t>
        </is>
      </c>
      <c r="C116" s="4" t="n">
        <v>85</v>
      </c>
      <c r="F116" s="4" t="inlineStr">
        <is>
          <t>Беллингем</t>
        </is>
      </c>
      <c r="G116" s="4" t="inlineStr">
        <is>
          <t>ЦАП</t>
        </is>
      </c>
      <c r="H116" s="4" t="n">
        <v>85</v>
      </c>
      <c r="K116" s="4" t="inlineStr">
        <is>
          <t>Адан</t>
        </is>
      </c>
      <c r="L116" s="4" t="inlineStr">
        <is>
          <t>ВРТ</t>
        </is>
      </c>
      <c r="M116" s="4" t="n">
        <v>80</v>
      </c>
      <c r="P116" s="4" t="inlineStr">
        <is>
          <t>Бускетс</t>
        </is>
      </c>
      <c r="Q116" s="4" t="inlineStr">
        <is>
          <t>ЦОП</t>
        </is>
      </c>
      <c r="R116" s="4" t="n">
        <v>83</v>
      </c>
      <c r="U116" s="4" t="inlineStr">
        <is>
          <t>Буригард</t>
        </is>
      </c>
      <c r="V116" s="4" t="inlineStr">
        <is>
          <t>ЦП</t>
        </is>
      </c>
      <c r="W116" s="4" t="n">
        <v>81</v>
      </c>
      <c r="Z116" s="4" t="inlineStr">
        <is>
          <t>Макс Лопес</t>
        </is>
      </c>
      <c r="AA116" s="4" t="inlineStr">
        <is>
          <t>ЦП</t>
        </is>
      </c>
      <c r="AB116" s="4" t="n">
        <v>81</v>
      </c>
      <c r="AE116" s="4" t="inlineStr">
        <is>
          <t>Гендузи</t>
        </is>
      </c>
      <c r="AF116" s="4" t="inlineStr">
        <is>
          <t>ЦП</t>
        </is>
      </c>
      <c r="AG116" s="4" t="n">
        <v>83</v>
      </c>
      <c r="AJ116" s="4" t="inlineStr">
        <is>
          <t>Бергвис</t>
        </is>
      </c>
      <c r="AK116" s="4" t="inlineStr">
        <is>
          <t>ЦАП</t>
        </is>
      </c>
      <c r="AL116" s="4" t="n">
        <v>81</v>
      </c>
    </row>
    <row r="117" ht="12" customHeight="1">
      <c r="A117" s="4" t="inlineStr">
        <is>
          <t>Мане</t>
        </is>
      </c>
      <c r="B117" s="4" t="inlineStr">
        <is>
          <t>ЛП</t>
        </is>
      </c>
      <c r="C117" s="4" t="n">
        <v>85</v>
      </c>
      <c r="F117" s="4" t="inlineStr">
        <is>
          <t>Маньян</t>
        </is>
      </c>
      <c r="G117" s="4" t="inlineStr">
        <is>
          <t>ВРТ</t>
        </is>
      </c>
      <c r="H117" s="4" t="n">
        <v>82</v>
      </c>
      <c r="K117" s="4" t="inlineStr">
        <is>
          <t>Миретти</t>
        </is>
      </c>
      <c r="L117" s="4" t="inlineStr">
        <is>
          <t>ЦП</t>
        </is>
      </c>
      <c r="M117" s="4" t="n">
        <v>79</v>
      </c>
      <c r="P117" s="4" t="inlineStr">
        <is>
          <t>Зелински</t>
        </is>
      </c>
      <c r="Q117" s="4" t="inlineStr">
        <is>
          <t>ЦП</t>
        </is>
      </c>
      <c r="R117" s="4" t="n">
        <v>82</v>
      </c>
      <c r="U117" s="4" t="inlineStr">
        <is>
          <t>Лукман</t>
        </is>
      </c>
      <c r="V117" s="4" t="inlineStr">
        <is>
          <t>ПФА</t>
        </is>
      </c>
      <c r="W117" s="4" t="n">
        <v>81</v>
      </c>
      <c r="Z117" s="4" t="inlineStr">
        <is>
          <t>Политано</t>
        </is>
      </c>
      <c r="AA117" s="4" t="inlineStr">
        <is>
          <t>ПФА</t>
        </is>
      </c>
      <c r="AB117" s="4" t="n">
        <v>81</v>
      </c>
      <c r="AE117" s="4" t="inlineStr">
        <is>
          <t>Монтиэль</t>
        </is>
      </c>
      <c r="AF117" s="4" t="inlineStr">
        <is>
          <t>ПЗ</t>
        </is>
      </c>
      <c r="AG117" s="4" t="n">
        <v>79</v>
      </c>
      <c r="AJ117" s="4" t="inlineStr">
        <is>
          <t>Ван Дейк</t>
        </is>
      </c>
      <c r="AK117" s="4" t="inlineStr">
        <is>
          <t>ЦЗ</t>
        </is>
      </c>
      <c r="AL117" s="4" t="n">
        <v>80</v>
      </c>
    </row>
    <row r="118" ht="12" customHeight="1">
      <c r="A118" s="4" t="inlineStr">
        <is>
          <t>Жоржиньо</t>
        </is>
      </c>
      <c r="B118" s="4" t="inlineStr">
        <is>
          <t>ЦП</t>
        </is>
      </c>
      <c r="C118" s="4" t="n">
        <v>83</v>
      </c>
      <c r="F118" s="4" t="inlineStr">
        <is>
          <t>Барнс</t>
        </is>
      </c>
      <c r="G118" s="4" t="inlineStr">
        <is>
          <t>ЛФА</t>
        </is>
      </c>
      <c r="H118" s="4" t="n">
        <v>81</v>
      </c>
      <c r="K118" s="4" t="inlineStr">
        <is>
          <t>Сандро</t>
        </is>
      </c>
      <c r="L118" s="4" t="inlineStr">
        <is>
          <t>ЛЗ</t>
        </is>
      </c>
      <c r="M118" s="4" t="n">
        <v>78</v>
      </c>
      <c r="P118" s="4" t="inlineStr">
        <is>
          <t>Цыганков</t>
        </is>
      </c>
      <c r="Q118" s="4" t="inlineStr">
        <is>
          <t>ПФА</t>
        </is>
      </c>
      <c r="R118" s="4" t="n">
        <v>82</v>
      </c>
      <c r="U118" s="4" t="inlineStr">
        <is>
          <t>Де Рун</t>
        </is>
      </c>
      <c r="V118" s="4" t="inlineStr">
        <is>
          <t>ЦОП</t>
        </is>
      </c>
      <c r="W118" s="4" t="n">
        <v>80</v>
      </c>
      <c r="Z118" s="4" t="inlineStr">
        <is>
          <t>Ибаньес</t>
        </is>
      </c>
      <c r="AA118" s="4" t="inlineStr">
        <is>
          <t>ЦЗ</t>
        </is>
      </c>
      <c r="AB118" s="4" t="n">
        <v>80</v>
      </c>
      <c r="AE118" s="4" t="inlineStr">
        <is>
          <t>Райкович</t>
        </is>
      </c>
      <c r="AF118" s="4" t="inlineStr">
        <is>
          <t>ВРТ</t>
        </is>
      </c>
      <c r="AG118" s="4" t="n">
        <v>78</v>
      </c>
      <c r="AJ118" s="4" t="inlineStr">
        <is>
          <t>Гризманн</t>
        </is>
      </c>
      <c r="AK118" s="4" t="inlineStr">
        <is>
          <t>ФРВ</t>
        </is>
      </c>
      <c r="AL118" s="4" t="n">
        <v>80</v>
      </c>
    </row>
    <row r="119" ht="12" customHeight="1">
      <c r="A119" s="4" t="inlineStr">
        <is>
          <t>Вирман</t>
        </is>
      </c>
      <c r="B119" s="4" t="inlineStr">
        <is>
          <t>ЦП</t>
        </is>
      </c>
      <c r="C119" s="4" t="n">
        <v>82</v>
      </c>
      <c r="F119" s="4" t="inlineStr">
        <is>
          <t>Лапорт</t>
        </is>
      </c>
      <c r="G119" s="4" t="inlineStr">
        <is>
          <t>ЦЗ</t>
        </is>
      </c>
      <c r="H119" s="4" t="n">
        <v>81</v>
      </c>
      <c r="K119" s="4" t="inlineStr">
        <is>
          <t>Хенрихс</t>
        </is>
      </c>
      <c r="L119" s="4" t="inlineStr">
        <is>
          <t>ПЗ</t>
        </is>
      </c>
      <c r="M119" s="4" t="n">
        <v>78</v>
      </c>
      <c r="P119" s="4" t="inlineStr">
        <is>
          <t>Карлос</t>
        </is>
      </c>
      <c r="Q119" s="4" t="inlineStr">
        <is>
          <t>ЦЗ</t>
        </is>
      </c>
      <c r="R119" s="4" t="n">
        <v>81</v>
      </c>
      <c r="U119" s="4" t="inlineStr">
        <is>
          <t>Заппакоста</t>
        </is>
      </c>
      <c r="V119" s="4" t="inlineStr">
        <is>
          <t>ПЗ</t>
        </is>
      </c>
      <c r="W119" s="4" t="n">
        <v>79</v>
      </c>
      <c r="Z119" s="4" t="inlineStr">
        <is>
          <t>Уналь</t>
        </is>
      </c>
      <c r="AA119" s="4" t="inlineStr">
        <is>
          <t>ФРВ</t>
        </is>
      </c>
      <c r="AB119" s="4" t="n">
        <v>80</v>
      </c>
      <c r="AE119" s="4" t="inlineStr">
        <is>
          <t>Станчиу</t>
        </is>
      </c>
      <c r="AF119" s="4" t="inlineStr">
        <is>
          <t>ЦП</t>
        </is>
      </c>
      <c r="AG119" s="4" t="n">
        <v>77</v>
      </c>
      <c r="AJ119" s="4" t="inlineStr">
        <is>
          <t>Бергвин</t>
        </is>
      </c>
      <c r="AK119" s="4" t="inlineStr">
        <is>
          <t>ЛФА</t>
        </is>
      </c>
      <c r="AL119" s="4" t="n">
        <v>79</v>
      </c>
    </row>
    <row r="120" ht="12" customHeight="1">
      <c r="A120" s="4" t="inlineStr">
        <is>
          <t>Де Врей</t>
        </is>
      </c>
      <c r="B120" s="4" t="inlineStr">
        <is>
          <t>ЦЗ</t>
        </is>
      </c>
      <c r="C120" s="4" t="n">
        <v>82</v>
      </c>
      <c r="F120" s="4" t="inlineStr">
        <is>
          <t>Калабрия</t>
        </is>
      </c>
      <c r="G120" s="4" t="inlineStr">
        <is>
          <t>ПЗ</t>
        </is>
      </c>
      <c r="H120" s="4" t="n">
        <v>78</v>
      </c>
      <c r="K120" s="4" t="inlineStr">
        <is>
          <t>Моффи</t>
        </is>
      </c>
      <c r="L120" s="4" t="inlineStr">
        <is>
          <t>ФРВ</t>
        </is>
      </c>
      <c r="M120" s="4" t="n">
        <v>77</v>
      </c>
      <c r="P120" s="4" t="inlineStr">
        <is>
          <t>Фати</t>
        </is>
      </c>
      <c r="Q120" s="4" t="inlineStr">
        <is>
          <t>ФРВ</t>
        </is>
      </c>
      <c r="R120" s="4" t="n">
        <v>80</v>
      </c>
      <c r="U120" s="4" t="inlineStr">
        <is>
          <t>Мбемба</t>
        </is>
      </c>
      <c r="V120" s="4" t="inlineStr">
        <is>
          <t>ЦЗ</t>
        </is>
      </c>
      <c r="W120" s="4" t="n">
        <v>79</v>
      </c>
      <c r="Z120" s="4" t="inlineStr">
        <is>
          <t>Зума</t>
        </is>
      </c>
      <c r="AA120" s="4" t="inlineStr">
        <is>
          <t>ЦЗ</t>
        </is>
      </c>
      <c r="AB120" s="4" t="n">
        <v>79</v>
      </c>
      <c r="AE120" s="4" t="inlineStr">
        <is>
          <t>Байер</t>
        </is>
      </c>
      <c r="AF120" s="4" t="inlineStr">
        <is>
          <t>ЛФА</t>
        </is>
      </c>
      <c r="AG120" s="4" t="n">
        <v>76</v>
      </c>
      <c r="AJ120" s="4" t="inlineStr">
        <is>
          <t>Бейлоу</t>
        </is>
      </c>
      <c r="AK120" s="4" t="inlineStr">
        <is>
          <t>ВРТ</t>
        </is>
      </c>
      <c r="AL120" s="4" t="n">
        <v>78</v>
      </c>
    </row>
    <row r="121" ht="12" customHeight="1">
      <c r="A121" s="4" t="inlineStr">
        <is>
          <t>Рульи</t>
        </is>
      </c>
      <c r="B121" s="4" t="inlineStr">
        <is>
          <t>ВРТ</t>
        </is>
      </c>
      <c r="C121" s="4" t="n">
        <v>81</v>
      </c>
      <c r="F121" s="4" t="inlineStr">
        <is>
          <t>Лофтус-Чик</t>
        </is>
      </c>
      <c r="G121" s="4" t="inlineStr">
        <is>
          <t>ЦП</t>
        </is>
      </c>
      <c r="H121" s="4" t="n">
        <v>76</v>
      </c>
      <c r="K121" s="4" t="inlineStr">
        <is>
          <t>Черки</t>
        </is>
      </c>
      <c r="L121" s="4" t="inlineStr">
        <is>
          <t>ЦАП</t>
        </is>
      </c>
      <c r="M121" s="4" t="n">
        <v>77</v>
      </c>
      <c r="P121" s="4" t="inlineStr">
        <is>
          <t>Консильи</t>
        </is>
      </c>
      <c r="Q121" s="4" t="inlineStr">
        <is>
          <t>ВРТ</t>
        </is>
      </c>
      <c r="R121" s="4" t="n">
        <v>79</v>
      </c>
      <c r="U121" s="4" t="inlineStr">
        <is>
          <t>Вахи</t>
        </is>
      </c>
      <c r="V121" s="4" t="inlineStr">
        <is>
          <t>ФРВ</t>
        </is>
      </c>
      <c r="W121" s="4" t="n">
        <v>78</v>
      </c>
      <c r="Z121" s="4" t="inlineStr">
        <is>
          <t>Са</t>
        </is>
      </c>
      <c r="AA121" s="4" t="inlineStr">
        <is>
          <t>ВРТ</t>
        </is>
      </c>
      <c r="AB121" s="4" t="n">
        <v>79</v>
      </c>
      <c r="AE121" s="4" t="inlineStr">
        <is>
          <t>Солдатенков</t>
        </is>
      </c>
      <c r="AF121" s="4" t="inlineStr">
        <is>
          <t>ЦЗ</t>
        </is>
      </c>
      <c r="AG121" s="4" t="n">
        <v>75</v>
      </c>
      <c r="AJ121" s="4" t="inlineStr">
        <is>
          <t>Санчес</t>
        </is>
      </c>
      <c r="AK121" s="4" t="inlineStr">
        <is>
          <t>ЦП</t>
        </is>
      </c>
      <c r="AL121" s="4" t="n">
        <v>78</v>
      </c>
    </row>
    <row r="122" ht="12" customHeight="1">
      <c r="A122" s="4" t="inlineStr">
        <is>
          <t>Теллес</t>
        </is>
      </c>
      <c r="B122" s="4" t="inlineStr">
        <is>
          <t>ЛЗ</t>
        </is>
      </c>
      <c r="C122" s="4" t="n">
        <v>79</v>
      </c>
      <c r="F122" s="4" t="inlineStr">
        <is>
          <t>Муса</t>
        </is>
      </c>
      <c r="G122" s="4" t="inlineStr">
        <is>
          <t>ЦП</t>
        </is>
      </c>
      <c r="H122" s="4" t="n">
        <v>74</v>
      </c>
      <c r="K122" s="4" t="inlineStr">
        <is>
          <t>Веа</t>
        </is>
      </c>
      <c r="L122" s="4" t="inlineStr">
        <is>
          <t>ПЗ</t>
        </is>
      </c>
      <c r="M122" s="4" t="n">
        <v>74</v>
      </c>
      <c r="P122" s="4" t="inlineStr">
        <is>
          <t>Оливера</t>
        </is>
      </c>
      <c r="Q122" s="4" t="inlineStr">
        <is>
          <t>ЛЗ</t>
        </is>
      </c>
      <c r="R122" s="4" t="n">
        <v>78</v>
      </c>
      <c r="U122" s="4" t="inlineStr">
        <is>
          <t>Шевалье</t>
        </is>
      </c>
      <c r="V122" s="4" t="inlineStr">
        <is>
          <t>ВРТ</t>
        </is>
      </c>
      <c r="W122" s="4" t="n">
        <v>78</v>
      </c>
      <c r="Z122" s="4" t="inlineStr">
        <is>
          <t>Артур</t>
        </is>
      </c>
      <c r="AA122" s="4" t="inlineStr">
        <is>
          <t>ЦП</t>
        </is>
      </c>
      <c r="AB122" s="4" t="n">
        <v>78</v>
      </c>
      <c r="AE122" s="4" t="inlineStr">
        <is>
          <t>Тель</t>
        </is>
      </c>
      <c r="AF122" s="4" t="inlineStr">
        <is>
          <t>ФРВ</t>
        </is>
      </c>
      <c r="AG122" s="4" t="n">
        <v>75</v>
      </c>
      <c r="AJ122" s="4" t="inlineStr">
        <is>
          <t>Бренет</t>
        </is>
      </c>
      <c r="AK122" s="4" t="inlineStr">
        <is>
          <t>ПЗ</t>
        </is>
      </c>
      <c r="AL122" s="4" t="n">
        <v>74</v>
      </c>
    </row>
    <row r="123" ht="12" customHeight="1">
      <c r="B123" s="3" t="inlineStr">
        <is>
          <t>резерв</t>
        </is>
      </c>
      <c r="G123" s="3" t="inlineStr">
        <is>
          <t>резерв</t>
        </is>
      </c>
      <c r="L123" s="3" t="inlineStr">
        <is>
          <t>резерв</t>
        </is>
      </c>
      <c r="Q123" s="3" t="inlineStr">
        <is>
          <t>резерв</t>
        </is>
      </c>
      <c r="V123" s="3" t="inlineStr">
        <is>
          <t>резерв</t>
        </is>
      </c>
      <c r="AA123" s="3" t="inlineStr">
        <is>
          <t>резерв</t>
        </is>
      </c>
      <c r="AF123" s="3" t="inlineStr">
        <is>
          <t>резерв</t>
        </is>
      </c>
      <c r="AK123" s="3" t="inlineStr">
        <is>
          <t>резерв</t>
        </is>
      </c>
    </row>
    <row r="124" ht="12" customHeight="1">
      <c r="A124" s="4" t="inlineStr">
        <is>
          <t>Дармиан</t>
        </is>
      </c>
      <c r="B124" s="4" t="inlineStr">
        <is>
          <t>ЦЗ</t>
        </is>
      </c>
      <c r="C124" s="4" t="n">
        <v>80</v>
      </c>
      <c r="F124" s="4" t="inlineStr">
        <is>
          <t>Кьяер</t>
        </is>
      </c>
      <c r="G124" s="4" t="inlineStr">
        <is>
          <t>ЦЗ</t>
        </is>
      </c>
      <c r="H124" s="4" t="n">
        <v>82</v>
      </c>
      <c r="K124" s="4" t="inlineStr">
        <is>
          <t>Локателли</t>
        </is>
      </c>
      <c r="L124" s="4" t="inlineStr">
        <is>
          <t>ЦП</t>
        </is>
      </c>
      <c r="M124" s="4" t="n">
        <v>81</v>
      </c>
      <c r="P124" s="4" t="inlineStr">
        <is>
          <t>Санчо</t>
        </is>
      </c>
      <c r="Q124" s="4" t="inlineStr">
        <is>
          <t>ЛФА</t>
        </is>
      </c>
      <c r="R124" s="4" t="n">
        <v>82</v>
      </c>
      <c r="U124" s="4" t="inlineStr">
        <is>
          <t>Хендерсон</t>
        </is>
      </c>
      <c r="V124" s="4" t="inlineStr">
        <is>
          <t>ВРТ</t>
        </is>
      </c>
      <c r="W124" s="4" t="n">
        <v>79</v>
      </c>
      <c r="Z124" s="4" t="inlineStr">
        <is>
          <t>Алдервейрельд</t>
        </is>
      </c>
      <c r="AA124" s="4" t="inlineStr">
        <is>
          <t>ЦЗ</t>
        </is>
      </c>
      <c r="AB124" s="4" t="n">
        <v>81</v>
      </c>
      <c r="AE124" s="4" t="inlineStr">
        <is>
          <t>Альберто</t>
        </is>
      </c>
      <c r="AF124" s="4" t="inlineStr">
        <is>
          <t>ЦП</t>
        </is>
      </c>
      <c r="AG124" s="4" t="n">
        <v>80</v>
      </c>
      <c r="AJ124" s="4" t="inlineStr">
        <is>
          <t>Отаменди</t>
        </is>
      </c>
      <c r="AK124" s="4" t="inlineStr">
        <is>
          <t>ЦЗ</t>
        </is>
      </c>
      <c r="AL124" s="4" t="n">
        <v>82</v>
      </c>
    </row>
    <row r="125" ht="12" customHeight="1">
      <c r="A125" s="4" t="inlineStr">
        <is>
          <t>Аудеро</t>
        </is>
      </c>
      <c r="B125" s="4" t="inlineStr">
        <is>
          <t>ВРТ</t>
        </is>
      </c>
      <c r="C125" s="4" t="n">
        <v>79</v>
      </c>
      <c r="F125" s="4" t="inlineStr">
        <is>
          <t>Вейналдум</t>
        </is>
      </c>
      <c r="G125" s="4" t="inlineStr">
        <is>
          <t>ЦП</t>
        </is>
      </c>
      <c r="H125" s="4" t="n">
        <v>80</v>
      </c>
      <c r="K125" s="4" t="inlineStr">
        <is>
          <t>Перин</t>
        </is>
      </c>
      <c r="L125" s="4" t="inlineStr">
        <is>
          <t>ВРТ</t>
        </is>
      </c>
      <c r="M125" s="4" t="n">
        <v>79</v>
      </c>
      <c r="P125" s="4" t="inlineStr">
        <is>
          <t>Распадори</t>
        </is>
      </c>
      <c r="Q125" s="4" t="inlineStr">
        <is>
          <t>ФРВ</t>
        </is>
      </c>
      <c r="R125" s="4" t="n">
        <v>79</v>
      </c>
      <c r="U125" s="4" t="inlineStr">
        <is>
          <t>Де Кетеларе</t>
        </is>
      </c>
      <c r="V125" s="4" t="inlineStr">
        <is>
          <t>ЦАП</t>
        </is>
      </c>
      <c r="W125" s="4" t="n">
        <v>76</v>
      </c>
      <c r="Z125" s="4" t="inlineStr">
        <is>
          <t>Барак</t>
        </is>
      </c>
      <c r="AA125" s="4" t="inlineStr">
        <is>
          <t>ЦП</t>
        </is>
      </c>
      <c r="AB125" s="4" t="n">
        <v>79</v>
      </c>
      <c r="AE125" s="4" t="inlineStr">
        <is>
          <t>Кастелланос</t>
        </is>
      </c>
      <c r="AF125" s="4" t="inlineStr">
        <is>
          <t>ФРВ</t>
        </is>
      </c>
      <c r="AG125" s="4" t="n">
        <v>79</v>
      </c>
      <c r="AJ125" s="4" t="inlineStr">
        <is>
          <t>Паредес</t>
        </is>
      </c>
      <c r="AK125" s="4" t="inlineStr">
        <is>
          <t>ЦП</t>
        </is>
      </c>
      <c r="AL125" s="4" t="n">
        <v>77</v>
      </c>
    </row>
    <row r="126" ht="12" customHeight="1">
      <c r="A126" s="4" t="inlineStr">
        <is>
          <t>Дест</t>
        </is>
      </c>
      <c r="B126" s="4" t="inlineStr">
        <is>
          <t>ЛЗ</t>
        </is>
      </c>
      <c r="C126" s="4" t="n">
        <v>78</v>
      </c>
      <c r="F126" s="4" t="inlineStr">
        <is>
          <t>Окафор</t>
        </is>
      </c>
      <c r="G126" s="4" t="inlineStr">
        <is>
          <t>ФРВ</t>
        </is>
      </c>
      <c r="H126" s="4" t="n">
        <v>78</v>
      </c>
      <c r="K126" s="4" t="inlineStr">
        <is>
          <t>Кеан</t>
        </is>
      </c>
      <c r="L126" s="4" t="inlineStr">
        <is>
          <t>ФРВ</t>
        </is>
      </c>
      <c r="M126" s="4" t="n">
        <v>76</v>
      </c>
      <c r="P126" s="4" t="inlineStr">
        <is>
          <t>Круз</t>
        </is>
      </c>
      <c r="Q126" s="4" t="inlineStr">
        <is>
          <t>ЦП</t>
        </is>
      </c>
      <c r="R126" s="4" t="n">
        <v>78</v>
      </c>
      <c r="U126" s="4" t="inlineStr">
        <is>
          <t>Джало</t>
        </is>
      </c>
      <c r="V126" s="4" t="inlineStr">
        <is>
          <t>ЦЗ</t>
        </is>
      </c>
      <c r="W126" s="4" t="n">
        <v>76</v>
      </c>
      <c r="Z126" s="4" t="inlineStr">
        <is>
          <t>Бонавентура</t>
        </is>
      </c>
      <c r="AA126" s="4" t="inlineStr">
        <is>
          <t>ЦАП</t>
        </is>
      </c>
      <c r="AB126" s="4" t="n">
        <v>79</v>
      </c>
      <c r="AE126" s="4" t="inlineStr">
        <is>
          <t>Дансо</t>
        </is>
      </c>
      <c r="AF126" s="4" t="inlineStr">
        <is>
          <t>ЦЗ</t>
        </is>
      </c>
      <c r="AG126" s="4" t="n">
        <v>76</v>
      </c>
      <c r="AJ126" s="4" t="inlineStr">
        <is>
          <t>Шаиби</t>
        </is>
      </c>
      <c r="AK126" s="4" t="inlineStr">
        <is>
          <t>ЛФА</t>
        </is>
      </c>
      <c r="AL126" s="4" t="n">
        <v>75</v>
      </c>
    </row>
    <row r="127" ht="12" customHeight="1">
      <c r="A127" s="4" t="inlineStr">
        <is>
          <t>Сенси</t>
        </is>
      </c>
      <c r="B127" s="4" t="inlineStr">
        <is>
          <t>ЦП</t>
        </is>
      </c>
      <c r="C127" s="4" t="n">
        <v>78</v>
      </c>
      <c r="F127" s="4" t="inlineStr">
        <is>
          <t>Калулу</t>
        </is>
      </c>
      <c r="G127" s="4" t="inlineStr">
        <is>
          <t>ЦЗ</t>
        </is>
      </c>
      <c r="H127" s="4" t="n">
        <v>77</v>
      </c>
      <c r="K127" s="4" t="inlineStr">
        <is>
          <t>Смолов</t>
        </is>
      </c>
      <c r="L127" s="4" t="inlineStr">
        <is>
          <t>ФРВ</t>
        </is>
      </c>
      <c r="M127" s="4" t="n">
        <v>76</v>
      </c>
      <c r="P127" s="4" t="inlineStr">
        <is>
          <t>Кинтеро</t>
        </is>
      </c>
      <c r="Q127" s="4" t="inlineStr">
        <is>
          <t>ЦАП</t>
        </is>
      </c>
      <c r="R127" s="4" t="n">
        <v>77</v>
      </c>
      <c r="U127" s="4" t="inlineStr">
        <is>
          <t>Купмайнерс</t>
        </is>
      </c>
      <c r="V127" s="4" t="inlineStr">
        <is>
          <t>ЦП</t>
        </is>
      </c>
      <c r="W127" s="4" t="n">
        <v>76</v>
      </c>
      <c r="Z127" s="4" t="inlineStr">
        <is>
          <t>Булка</t>
        </is>
      </c>
      <c r="AA127" s="4" t="inlineStr">
        <is>
          <t>ВРТ</t>
        </is>
      </c>
      <c r="AB127" s="4" t="n">
        <v>78</v>
      </c>
      <c r="AE127" s="4" t="inlineStr">
        <is>
          <t>Исаксен</t>
        </is>
      </c>
      <c r="AF127" s="4" t="inlineStr">
        <is>
          <t>ПФА</t>
        </is>
      </c>
      <c r="AG127" s="4" t="n">
        <v>74</v>
      </c>
      <c r="AJ127" s="4" t="inlineStr">
        <is>
          <t>Ренч</t>
        </is>
      </c>
      <c r="AK127" s="4" t="inlineStr">
        <is>
          <t>ПЗ</t>
        </is>
      </c>
      <c r="AL127" s="4" t="n">
        <v>74</v>
      </c>
    </row>
    <row r="128" ht="12" customHeight="1">
      <c r="A128" s="4" t="inlineStr">
        <is>
          <t>Миша</t>
        </is>
      </c>
      <c r="B128" s="4" t="inlineStr">
        <is>
          <t>ПП</t>
        </is>
      </c>
      <c r="C128" s="4" t="n">
        <v>77</v>
      </c>
      <c r="F128" s="4" t="inlineStr">
        <is>
          <t>Пинеда</t>
        </is>
      </c>
      <c r="G128" s="4" t="inlineStr">
        <is>
          <t>ЦАП</t>
        </is>
      </c>
      <c r="H128" s="4" t="n">
        <v>77</v>
      </c>
      <c r="K128" s="4" t="inlineStr">
        <is>
          <t>Коуто</t>
        </is>
      </c>
      <c r="L128" s="4" t="inlineStr">
        <is>
          <t>ПЗ</t>
        </is>
      </c>
      <c r="M128" s="4" t="n">
        <v>75</v>
      </c>
      <c r="P128" s="4" t="inlineStr">
        <is>
          <t>Матеус Энрике</t>
        </is>
      </c>
      <c r="Q128" s="4" t="inlineStr">
        <is>
          <t>ЦП</t>
        </is>
      </c>
      <c r="R128" s="4" t="n">
        <v>75</v>
      </c>
      <c r="U128" s="4" t="inlineStr">
        <is>
          <t>Баккер</t>
        </is>
      </c>
      <c r="V128" s="4" t="inlineStr">
        <is>
          <t>ЛЗ</t>
        </is>
      </c>
      <c r="W128" s="4" t="n">
        <v>74</v>
      </c>
      <c r="Z128" s="4" t="inlineStr">
        <is>
          <t>Малком</t>
        </is>
      </c>
      <c r="AA128" s="4" t="inlineStr">
        <is>
          <t>ФРВ</t>
        </is>
      </c>
      <c r="AB128" s="4" t="n">
        <v>78</v>
      </c>
      <c r="AE128" s="4" t="inlineStr">
        <is>
          <t>Пеллегрини</t>
        </is>
      </c>
      <c r="AF128" s="4" t="inlineStr">
        <is>
          <t>ЛЗ</t>
        </is>
      </c>
      <c r="AG128" s="4" t="n">
        <v>74</v>
      </c>
      <c r="AJ128" s="4" t="inlineStr">
        <is>
          <t>Тейлор</t>
        </is>
      </c>
      <c r="AK128" s="4" t="inlineStr">
        <is>
          <t>ЦП</t>
        </is>
      </c>
      <c r="AL128" s="4" t="n">
        <v>74</v>
      </c>
    </row>
    <row r="129" ht="12" customHeight="1">
      <c r="A129" s="4" t="inlineStr">
        <is>
          <t>Уоткинс</t>
        </is>
      </c>
      <c r="B129" s="4" t="inlineStr">
        <is>
          <t>ФРВ</t>
        </is>
      </c>
      <c r="C129" s="4" t="n">
        <v>77</v>
      </c>
      <c r="F129" s="4" t="inlineStr">
        <is>
          <t>Зубер</t>
        </is>
      </c>
      <c r="G129" s="4" t="inlineStr">
        <is>
          <t>ФРВ</t>
        </is>
      </c>
      <c r="H129" s="4" t="n">
        <v>76</v>
      </c>
      <c r="K129" s="4" t="inlineStr">
        <is>
          <t>Камбиасо</t>
        </is>
      </c>
      <c r="L129" s="4" t="inlineStr">
        <is>
          <t>ЛЗ</t>
        </is>
      </c>
      <c r="M129" s="4" t="n">
        <v>74</v>
      </c>
      <c r="P129" s="4" t="inlineStr">
        <is>
          <t>Маммана</t>
        </is>
      </c>
      <c r="Q129" s="4" t="inlineStr">
        <is>
          <t>ЦЗ</t>
        </is>
      </c>
      <c r="R129" s="4" t="n">
        <v>74</v>
      </c>
      <c r="U129" s="4" t="inlineStr">
        <is>
          <t>Холм</t>
        </is>
      </c>
      <c r="V129" s="4" t="inlineStr">
        <is>
          <t>ПЗ</t>
        </is>
      </c>
      <c r="W129" s="4" t="n">
        <v>72</v>
      </c>
      <c r="Z129" s="4" t="inlineStr">
        <is>
          <t>Соттил</t>
        </is>
      </c>
      <c r="AA129" s="4" t="inlineStr">
        <is>
          <t>ЛФА</t>
        </is>
      </c>
      <c r="AB129" s="4" t="n">
        <v>78</v>
      </c>
      <c r="AE129" s="4" t="n"/>
      <c r="AF129" s="4" t="n"/>
      <c r="AG129" s="4" t="n"/>
      <c r="AJ129" s="4" t="inlineStr">
        <is>
          <t>Виктор</t>
        </is>
      </c>
      <c r="AK129" s="4" t="inlineStr">
        <is>
          <t>ЦЗ</t>
        </is>
      </c>
      <c r="AL129" s="4" t="n">
        <v>73</v>
      </c>
    </row>
    <row r="130" ht="12" customHeight="1">
      <c r="A130" s="4" t="inlineStr">
        <is>
          <t>Койта</t>
        </is>
      </c>
      <c r="B130" s="4" t="inlineStr">
        <is>
          <t>ФРВ</t>
        </is>
      </c>
      <c r="C130" s="4" t="n">
        <v>75</v>
      </c>
      <c r="F130" s="4" t="inlineStr">
        <is>
          <t>Побега</t>
        </is>
      </c>
      <c r="G130" s="4" t="inlineStr">
        <is>
          <t>ЦП</t>
        </is>
      </c>
      <c r="H130" s="4" t="n">
        <v>76</v>
      </c>
      <c r="K130" s="4" t="n"/>
      <c r="L130" s="4" t="n"/>
      <c r="M130" s="4" t="n"/>
      <c r="P130" s="4" t="n"/>
      <c r="Q130" s="4" t="n"/>
      <c r="R130" s="4" t="n"/>
      <c r="U130" s="4" t="n"/>
      <c r="V130" s="4" t="n"/>
      <c r="W130" s="4" t="n"/>
      <c r="Z130" s="4" t="inlineStr">
        <is>
          <t>Джене</t>
        </is>
      </c>
      <c r="AA130" s="4" t="inlineStr">
        <is>
          <t>ЦЗ</t>
        </is>
      </c>
      <c r="AB130" s="4" t="n">
        <v>77</v>
      </c>
      <c r="AE130" s="4" t="n"/>
      <c r="AF130" s="4" t="n"/>
      <c r="AG130" s="4" t="n"/>
      <c r="AJ130" s="4" t="inlineStr">
        <is>
          <t>Дилросун</t>
        </is>
      </c>
      <c r="AK130" s="4" t="inlineStr">
        <is>
          <t>ПФА</t>
        </is>
      </c>
      <c r="AL130" s="4" t="n">
        <v>73</v>
      </c>
    </row>
    <row r="131" ht="12" customHeight="1">
      <c r="A131" s="4" t="n"/>
      <c r="B131" s="4" t="n"/>
      <c r="C131" s="4" t="n"/>
      <c r="F131" s="4" t="inlineStr">
        <is>
          <t>Тиау</t>
        </is>
      </c>
      <c r="G131" s="4" t="inlineStr">
        <is>
          <t>ЦЗ</t>
        </is>
      </c>
      <c r="H131" s="4" t="n">
        <v>75</v>
      </c>
      <c r="K131" s="4" t="n"/>
      <c r="L131" s="4" t="n"/>
      <c r="M131" s="4" t="n"/>
      <c r="P131" s="4" t="n"/>
      <c r="Q131" s="4" t="n"/>
      <c r="R131" s="4" t="n"/>
      <c r="U131" s="4" t="n"/>
      <c r="V131" s="4" t="n"/>
      <c r="W131" s="4" t="n"/>
      <c r="Z131" s="4" t="inlineStr">
        <is>
          <t>Паризи</t>
        </is>
      </c>
      <c r="AA131" s="4" t="inlineStr">
        <is>
          <t>ЛЗ</t>
        </is>
      </c>
      <c r="AB131" s="4" t="n">
        <v>77</v>
      </c>
      <c r="AE131" s="4" t="n"/>
      <c r="AF131" s="4" t="n"/>
      <c r="AG131" s="4" t="n"/>
      <c r="AJ131" s="4" t="n"/>
      <c r="AK131" s="4" t="n"/>
      <c r="AL131" s="4" t="n"/>
    </row>
    <row r="132" ht="12" customHeight="1">
      <c r="A132" s="4" t="n"/>
      <c r="B132" s="4" t="n"/>
      <c r="C132" s="4" t="n"/>
      <c r="F132" s="4" t="inlineStr">
        <is>
          <t>Эль Ямик</t>
        </is>
      </c>
      <c r="G132" s="4" t="inlineStr">
        <is>
          <t>ЦЗ</t>
        </is>
      </c>
      <c r="H132" s="4" t="n">
        <v>71</v>
      </c>
      <c r="K132" s="4" t="n"/>
      <c r="L132" s="4" t="n"/>
      <c r="M132" s="4" t="n"/>
      <c r="P132" s="4" t="n"/>
      <c r="Q132" s="4" t="n"/>
      <c r="R132" s="4" t="n"/>
      <c r="U132" s="4" t="n"/>
      <c r="V132" s="4" t="n"/>
      <c r="W132" s="4" t="n"/>
      <c r="Z132" s="4" t="n"/>
      <c r="AA132" s="4" t="n"/>
      <c r="AB132" s="4" t="n"/>
      <c r="AE132" s="4" t="n"/>
      <c r="AF132" s="4" t="n"/>
      <c r="AG132" s="4" t="n"/>
      <c r="AJ132" s="4" t="n"/>
      <c r="AK132" s="4" t="n"/>
      <c r="AL132" s="4" t="n"/>
    </row>
    <row r="133" ht="12" customHeight="1"/>
    <row r="134" ht="12" customHeight="1"/>
    <row r="135" ht="12" customHeight="1">
      <c r="A135" s="2">
        <f>"Бавария "&amp;MIN(5,SUMPRODUCT((LEN(A$137:A$165)&gt;0)*(ISERROR(MATCH(A$137:A$165,_orig!$AG$2:$AG$26,0)))))&amp;"/5 IN "&amp;MIN(5,SUMPRODUCT((LEN(_orig!$AG$2:$AG$26)&gt;0)*(ISERROR(MATCH(_orig!$AG$2:$AG$26,A$137:A$165,0)))))&amp;"/5 OUT"</f>
        <v/>
      </c>
      <c r="F135" s="2">
        <f>"Дортмунд "&amp;MIN(5,SUMPRODUCT((LEN(F$137:F$165)&gt;0)*(ISERROR(MATCH(F$137:F$165,_orig!$AH$2:$AH$27,0)))))&amp;"/5 IN "&amp;MIN(5,SUMPRODUCT((LEN(_orig!$AH$2:$AH$27)&gt;0)*(ISERROR(MATCH(_orig!$AH$2:$AH$27,F$137:F$165,0)))))&amp;"/5 OUT"</f>
        <v/>
      </c>
      <c r="K135" s="2">
        <f>"Байер "&amp;MIN(5,SUMPRODUCT((LEN(K$137:K$165)&gt;0)*(ISERROR(MATCH(K$137:K$165,_orig!$AI$2:$AI$25,0)))))&amp;"/5 IN "&amp;MIN(5,SUMPRODUCT((LEN(_orig!$AI$2:$AI$25)&gt;0)*(ISERROR(MATCH(_orig!$AI$2:$AI$25,K$137:K$165,0)))))&amp;"/5 OUT"</f>
        <v/>
      </c>
      <c r="P135" s="2">
        <f>"Лейпциг "&amp;MIN(5,SUMPRODUCT((LEN(P$137:P$165)&gt;0)*(ISERROR(MATCH(P$137:P$165,_orig!$AJ$2:$AJ$28,0)))))&amp;"/5 IN "&amp;MIN(5,SUMPRODUCT((LEN(_orig!$AJ$2:$AJ$28)&gt;0)*(ISERROR(MATCH(_orig!$AJ$2:$AJ$28,P$137:P$165,0)))))&amp;"/5 OUT"</f>
        <v/>
      </c>
      <c r="U135" s="2">
        <f>"Франкфурт "&amp;MIN(5,SUMPRODUCT((LEN(U$137:U$165)&gt;0)*(ISERROR(MATCH(U$137:U$165,_orig!$AK$2:$AK$24,0)))))&amp;"/5 IN "&amp;MIN(5,SUMPRODUCT((LEN(_orig!$AK$2:$AK$24)&gt;0)*(ISERROR(MATCH(_orig!$AK$2:$AK$24,U$137:U$165,0)))))&amp;"/5 OUT"</f>
        <v/>
      </c>
      <c r="Z135" s="2">
        <f>"Боруссия М "&amp;MIN(5,SUMPRODUCT((LEN(Z$137:Z$165)&gt;0)*(ISERROR(MATCH(Z$137:Z$165,_orig!$AL$2:$AL$25,0)))))&amp;"/5 IN "&amp;MIN(5,SUMPRODUCT((LEN(_orig!$AL$2:$AL$25)&gt;0)*(ISERROR(MATCH(_orig!$AL$2:$AL$25,Z$137:Z$165,0)))))&amp;"/5 OUT"</f>
        <v/>
      </c>
      <c r="AE135" s="2">
        <f>"Вольфсбург "&amp;MIN(5,SUMPRODUCT((LEN(AE$137:AE$165)&gt;0)*(ISERROR(MATCH(AE$137:AE$165,_orig!$AM$2:$AM$26,0)))))&amp;"/5 IN "&amp;MIN(5,SUMPRODUCT((LEN(_orig!$AM$2:$AM$26)&gt;0)*(ISERROR(MATCH(_orig!$AM$2:$AM$26,AE$137:AE$165,0)))))&amp;"/5 OUT"</f>
        <v/>
      </c>
      <c r="AJ135" s="2">
        <f>"Хоффенхайм "&amp;MIN(5,SUMPRODUCT((LEN(AJ$137:AJ$165)&gt;0)*(ISERROR(MATCH(AJ$137:AJ$165,_orig!$AN$2:$AN$28,0)))))&amp;"/5 IN "&amp;MIN(5,SUMPRODUCT((LEN(_orig!$AN$2:$AN$28)&gt;0)*(ISERROR(MATCH(_orig!$AN$2:$AN$28,AJ$137:AJ$165,0)))))&amp;"/5 OUT"</f>
        <v/>
      </c>
    </row>
    <row r="136" ht="12" customHeight="1">
      <c r="B136" s="3" t="inlineStr">
        <is>
          <t>старт</t>
        </is>
      </c>
      <c r="G136" s="3" t="inlineStr">
        <is>
          <t>старт</t>
        </is>
      </c>
      <c r="L136" s="3" t="inlineStr">
        <is>
          <t>старт</t>
        </is>
      </c>
      <c r="Q136" s="3" t="inlineStr">
        <is>
          <t>старт</t>
        </is>
      </c>
      <c r="V136" s="3" t="inlineStr">
        <is>
          <t>старт</t>
        </is>
      </c>
      <c r="AA136" s="3" t="inlineStr">
        <is>
          <t>старт</t>
        </is>
      </c>
      <c r="AF136" s="3" t="inlineStr">
        <is>
          <t>старт</t>
        </is>
      </c>
      <c r="AK136" s="3" t="inlineStr">
        <is>
          <t>старт</t>
        </is>
      </c>
    </row>
    <row r="137" ht="12" customHeight="1">
      <c r="A137" s="4" t="inlineStr">
        <is>
          <t>Кейн</t>
        </is>
      </c>
      <c r="B137" s="4" t="inlineStr">
        <is>
          <t>ФРВ</t>
        </is>
      </c>
      <c r="C137" s="4" t="n">
        <v>91</v>
      </c>
      <c r="F137" s="4" t="inlineStr">
        <is>
          <t>Шлоттербек</t>
        </is>
      </c>
      <c r="G137" s="4" t="inlineStr">
        <is>
          <t>ЦЗ</t>
        </is>
      </c>
      <c r="H137" s="4" t="n">
        <v>88</v>
      </c>
      <c r="K137" s="4" t="inlineStr">
        <is>
          <t>Андрих</t>
        </is>
      </c>
      <c r="L137" s="4" t="inlineStr">
        <is>
          <t>ЦП</t>
        </is>
      </c>
      <c r="M137" s="4" t="n">
        <v>84</v>
      </c>
      <c r="P137" s="4" t="inlineStr">
        <is>
          <t>Клаудиньо</t>
        </is>
      </c>
      <c r="Q137" s="4" t="inlineStr">
        <is>
          <t>ЦАП</t>
        </is>
      </c>
      <c r="R137" s="4" t="n">
        <v>88</v>
      </c>
      <c r="U137" s="4" t="inlineStr">
        <is>
          <t>Гётце</t>
        </is>
      </c>
      <c r="V137" s="4" t="inlineStr">
        <is>
          <t>ЦП</t>
        </is>
      </c>
      <c r="W137" s="4" t="n">
        <v>85</v>
      </c>
      <c r="Z137" s="4" t="inlineStr">
        <is>
          <t>Кванкара</t>
        </is>
      </c>
      <c r="AA137" s="4" t="inlineStr">
        <is>
          <t>ФРВ</t>
        </is>
      </c>
      <c r="AB137" s="4" t="n">
        <v>84</v>
      </c>
      <c r="AE137" s="4" t="inlineStr">
        <is>
          <t>Кастилс</t>
        </is>
      </c>
      <c r="AF137" s="4" t="inlineStr">
        <is>
          <t>ВРТ</t>
        </is>
      </c>
      <c r="AG137" s="4" t="n">
        <v>85</v>
      </c>
      <c r="AJ137" s="4" t="inlineStr">
        <is>
          <t>Аспас</t>
        </is>
      </c>
      <c r="AK137" s="4" t="inlineStr">
        <is>
          <t>ФРВ</t>
        </is>
      </c>
      <c r="AL137" s="4" t="n">
        <v>85</v>
      </c>
    </row>
    <row r="138" ht="12" customHeight="1">
      <c r="A138" s="4" t="inlineStr">
        <is>
          <t>Нойер</t>
        </is>
      </c>
      <c r="B138" s="4" t="inlineStr">
        <is>
          <t>ВРТ</t>
        </is>
      </c>
      <c r="C138" s="4" t="n">
        <v>90</v>
      </c>
      <c r="F138" s="4" t="inlineStr">
        <is>
          <t>Кобель</t>
        </is>
      </c>
      <c r="G138" s="4" t="inlineStr">
        <is>
          <t>ВРТ</t>
        </is>
      </c>
      <c r="H138" s="4" t="n">
        <v>87</v>
      </c>
      <c r="K138" s="4" t="inlineStr">
        <is>
          <t>Гримальдо</t>
        </is>
      </c>
      <c r="L138" s="4" t="inlineStr">
        <is>
          <t>ЛЗ</t>
        </is>
      </c>
      <c r="M138" s="4" t="n">
        <v>84</v>
      </c>
      <c r="P138" s="4" t="inlineStr">
        <is>
          <t>Ольмо</t>
        </is>
      </c>
      <c r="Q138" s="4" t="inlineStr">
        <is>
          <t>ЦАП</t>
        </is>
      </c>
      <c r="R138" s="4" t="n">
        <v>88</v>
      </c>
      <c r="U138" s="4" t="inlineStr">
        <is>
          <t>Мусиаля</t>
        </is>
      </c>
      <c r="V138" s="4" t="inlineStr">
        <is>
          <t>ЦАП</t>
        </is>
      </c>
      <c r="W138" s="4" t="n">
        <v>84</v>
      </c>
      <c r="Z138" s="4" t="inlineStr">
        <is>
          <t>Кессие</t>
        </is>
      </c>
      <c r="AA138" s="4" t="inlineStr">
        <is>
          <t>ЦЗ</t>
        </is>
      </c>
      <c r="AB138" s="4" t="n">
        <v>82</v>
      </c>
      <c r="AE138" s="4" t="inlineStr">
        <is>
          <t>Арнольд</t>
        </is>
      </c>
      <c r="AF138" s="4" t="inlineStr">
        <is>
          <t>ЦОП</t>
        </is>
      </c>
      <c r="AG138" s="4" t="n">
        <v>84</v>
      </c>
      <c r="AJ138" s="4" t="inlineStr">
        <is>
          <t>Бауманн</t>
        </is>
      </c>
      <c r="AK138" s="4" t="inlineStr">
        <is>
          <t>ВРТ</t>
        </is>
      </c>
      <c r="AL138" s="4" t="n">
        <v>81</v>
      </c>
    </row>
    <row r="139" ht="12" customHeight="1">
      <c r="A139" s="4" t="inlineStr">
        <is>
          <t>Дэвис</t>
        </is>
      </c>
      <c r="B139" s="4" t="inlineStr">
        <is>
          <t>ЛЗ</t>
        </is>
      </c>
      <c r="C139" s="4" t="n">
        <v>88</v>
      </c>
      <c r="F139" s="4" t="inlineStr">
        <is>
          <t>Дибала</t>
        </is>
      </c>
      <c r="G139" s="4" t="inlineStr">
        <is>
          <t>ЦАП</t>
        </is>
      </c>
      <c r="H139" s="4" t="n">
        <v>86</v>
      </c>
      <c r="K139" s="4" t="inlineStr">
        <is>
          <t>Хофманн</t>
        </is>
      </c>
      <c r="L139" s="4" t="inlineStr">
        <is>
          <t>ПФА</t>
        </is>
      </c>
      <c r="M139" s="4" t="n">
        <v>84</v>
      </c>
      <c r="P139" s="4" t="inlineStr">
        <is>
          <t>Вернер</t>
        </is>
      </c>
      <c r="Q139" s="4" t="inlineStr">
        <is>
          <t>ФРВ</t>
        </is>
      </c>
      <c r="R139" s="4" t="n">
        <v>87</v>
      </c>
      <c r="U139" s="4" t="inlineStr">
        <is>
          <t>Трапп</t>
        </is>
      </c>
      <c r="V139" s="4" t="inlineStr">
        <is>
          <t>ВРТ</t>
        </is>
      </c>
      <c r="W139" s="4" t="n">
        <v>84</v>
      </c>
      <c r="Z139" s="4" t="inlineStr">
        <is>
          <t>Ливакович</t>
        </is>
      </c>
      <c r="AA139" s="4" t="inlineStr">
        <is>
          <t>ВРТ</t>
        </is>
      </c>
      <c r="AB139" s="4" t="n">
        <v>81</v>
      </c>
      <c r="AE139" s="4" t="inlineStr">
        <is>
          <t>Майер</t>
        </is>
      </c>
      <c r="AF139" s="4" t="inlineStr">
        <is>
          <t>ЦП</t>
        </is>
      </c>
      <c r="AG139" s="4" t="n">
        <v>83</v>
      </c>
      <c r="AJ139" s="4" t="inlineStr">
        <is>
          <t>Диоп</t>
        </is>
      </c>
      <c r="AK139" s="4" t="inlineStr">
        <is>
          <t>ЦЗ</t>
        </is>
      </c>
      <c r="AL139" s="4" t="n">
        <v>80</v>
      </c>
    </row>
    <row r="140" ht="12" customHeight="1">
      <c r="A140" s="4" t="inlineStr">
        <is>
          <t>Мин Дже</t>
        </is>
      </c>
      <c r="B140" s="4" t="inlineStr">
        <is>
          <t>ЦЗ</t>
        </is>
      </c>
      <c r="C140" s="4" t="n">
        <v>88</v>
      </c>
      <c r="F140" s="4" t="inlineStr">
        <is>
          <t>Мален</t>
        </is>
      </c>
      <c r="G140" s="4" t="inlineStr">
        <is>
          <t>ЛФА</t>
        </is>
      </c>
      <c r="H140" s="4" t="n">
        <v>86</v>
      </c>
      <c r="K140" s="4" t="inlineStr">
        <is>
          <t>Градецки</t>
        </is>
      </c>
      <c r="L140" s="4" t="inlineStr">
        <is>
          <t>ВРТ</t>
        </is>
      </c>
      <c r="M140" s="4" t="n">
        <v>83</v>
      </c>
      <c r="P140" s="4" t="inlineStr">
        <is>
          <t>Доннарумма</t>
        </is>
      </c>
      <c r="Q140" s="4" t="inlineStr">
        <is>
          <t>ВРТ</t>
        </is>
      </c>
      <c r="R140" s="4" t="n">
        <v>87</v>
      </c>
      <c r="U140" s="4" t="inlineStr">
        <is>
          <t>Баку</t>
        </is>
      </c>
      <c r="V140" s="4" t="inlineStr">
        <is>
          <t>ПЗ</t>
        </is>
      </c>
      <c r="W140" s="4" t="n">
        <v>83</v>
      </c>
      <c r="Z140" s="4" t="inlineStr">
        <is>
          <t>Синистерра</t>
        </is>
      </c>
      <c r="AA140" s="4" t="inlineStr">
        <is>
          <t>ПФА</t>
        </is>
      </c>
      <c r="AB140" s="4" t="n">
        <v>80</v>
      </c>
      <c r="AE140" s="4" t="inlineStr">
        <is>
          <t>Лакруа</t>
        </is>
      </c>
      <c r="AF140" s="4" t="inlineStr">
        <is>
          <t>ЦЗ</t>
        </is>
      </c>
      <c r="AG140" s="4" t="n">
        <v>82</v>
      </c>
      <c r="AJ140" s="4" t="inlineStr">
        <is>
          <t>Крамарич</t>
        </is>
      </c>
      <c r="AK140" s="4" t="inlineStr">
        <is>
          <t>ЦП</t>
        </is>
      </c>
      <c r="AL140" s="4" t="n">
        <v>79</v>
      </c>
    </row>
    <row r="141" ht="12" customHeight="1">
      <c r="A141" s="4" t="inlineStr">
        <is>
          <t>Упамекано</t>
        </is>
      </c>
      <c r="B141" s="4" t="inlineStr">
        <is>
          <t>ЦЗ</t>
        </is>
      </c>
      <c r="C141" s="4" t="n">
        <v>88</v>
      </c>
      <c r="F141" s="4" t="inlineStr">
        <is>
          <t>Фред</t>
        </is>
      </c>
      <c r="G141" s="4" t="inlineStr">
        <is>
          <t>ЦП</t>
        </is>
      </c>
      <c r="H141" s="4" t="n">
        <v>85</v>
      </c>
      <c r="K141" s="4" t="inlineStr">
        <is>
          <t>Иконе</t>
        </is>
      </c>
      <c r="L141" s="4" t="inlineStr">
        <is>
          <t>ФРВ</t>
        </is>
      </c>
      <c r="M141" s="4" t="n">
        <v>82</v>
      </c>
      <c r="P141" s="4" t="inlineStr">
        <is>
          <t>Опенда</t>
        </is>
      </c>
      <c r="Q141" s="4" t="inlineStr">
        <is>
          <t>ФРВ</t>
        </is>
      </c>
      <c r="R141" s="4" t="n">
        <v>86</v>
      </c>
      <c r="U141" s="4" t="inlineStr">
        <is>
          <t>Мармуш</t>
        </is>
      </c>
      <c r="V141" s="4" t="inlineStr">
        <is>
          <t>ФРВ</t>
        </is>
      </c>
      <c r="W141" s="4" t="n">
        <v>83</v>
      </c>
      <c r="Z141" s="4" t="inlineStr">
        <is>
          <t>Фелипе</t>
        </is>
      </c>
      <c r="AA141" s="4" t="inlineStr">
        <is>
          <t>ЦЗ</t>
        </is>
      </c>
      <c r="AB141" s="4" t="n">
        <v>80</v>
      </c>
      <c r="AE141" s="4" t="inlineStr">
        <is>
          <t>Линдстром</t>
        </is>
      </c>
      <c r="AF141" s="4" t="inlineStr">
        <is>
          <t>ЛФА</t>
        </is>
      </c>
      <c r="AG141" s="4" t="n">
        <v>82</v>
      </c>
      <c r="AJ141" s="4" t="inlineStr">
        <is>
          <t>Бакайоко</t>
        </is>
      </c>
      <c r="AK141" s="4" t="inlineStr">
        <is>
          <t>ЛФА</t>
        </is>
      </c>
      <c r="AL141" s="4" t="n">
        <v>78</v>
      </c>
    </row>
    <row r="142" ht="12" customHeight="1">
      <c r="A142" s="4" t="inlineStr">
        <is>
          <t>Горетцка</t>
        </is>
      </c>
      <c r="B142" s="4" t="inlineStr">
        <is>
          <t>ЦП</t>
        </is>
      </c>
      <c r="C142" s="4" t="n">
        <v>87</v>
      </c>
      <c r="F142" s="4" t="inlineStr">
        <is>
          <t>Джан</t>
        </is>
      </c>
      <c r="G142" s="4" t="inlineStr">
        <is>
          <t>ЦП</t>
        </is>
      </c>
      <c r="H142" s="4" t="n">
        <v>84</v>
      </c>
      <c r="K142" s="4" t="inlineStr">
        <is>
          <t>Лозано</t>
        </is>
      </c>
      <c r="L142" s="4" t="inlineStr">
        <is>
          <t>ЛФА</t>
        </is>
      </c>
      <c r="M142" s="4" t="n">
        <v>81</v>
      </c>
      <c r="P142" s="4" t="inlineStr">
        <is>
          <t>Иниго Мартинез</t>
        </is>
      </c>
      <c r="Q142" s="4" t="inlineStr">
        <is>
          <t>ЦЗ</t>
        </is>
      </c>
      <c r="R142" s="4" t="n">
        <v>82</v>
      </c>
      <c r="U142" s="4" t="inlineStr">
        <is>
          <t>Кох</t>
        </is>
      </c>
      <c r="V142" s="4" t="inlineStr">
        <is>
          <t>ЦП</t>
        </is>
      </c>
      <c r="W142" s="4" t="n">
        <v>82</v>
      </c>
      <c r="Z142" s="4" t="inlineStr">
        <is>
          <t>Хульманд</t>
        </is>
      </c>
      <c r="AA142" s="4" t="inlineStr">
        <is>
          <t>ЦП</t>
        </is>
      </c>
      <c r="AB142" s="4" t="n">
        <v>80</v>
      </c>
      <c r="AE142" s="4" t="inlineStr">
        <is>
          <t>Нмеча</t>
        </is>
      </c>
      <c r="AF142" s="4" t="inlineStr">
        <is>
          <t>ФРВ</t>
        </is>
      </c>
      <c r="AG142" s="4" t="n">
        <v>82</v>
      </c>
      <c r="AJ142" s="4" t="inlineStr">
        <is>
          <t>Гиббс-Уайт</t>
        </is>
      </c>
      <c r="AK142" s="4" t="inlineStr">
        <is>
          <t>ЦАП</t>
        </is>
      </c>
      <c r="AL142" s="4" t="n">
        <v>78</v>
      </c>
    </row>
    <row r="143" ht="12" customHeight="1">
      <c r="A143" s="4" t="inlineStr">
        <is>
          <t>Киммих</t>
        </is>
      </c>
      <c r="B143" s="4" t="inlineStr">
        <is>
          <t>ЦП</t>
        </is>
      </c>
      <c r="C143" s="4" t="n">
        <v>87</v>
      </c>
      <c r="F143" s="4" t="inlineStr">
        <is>
          <t>Касьерра</t>
        </is>
      </c>
      <c r="G143" s="4" t="inlineStr">
        <is>
          <t>ФРВ</t>
        </is>
      </c>
      <c r="H143" s="4" t="n">
        <v>84</v>
      </c>
      <c r="K143" s="4" t="inlineStr">
        <is>
          <t>Клаус</t>
        </is>
      </c>
      <c r="L143" s="4" t="inlineStr">
        <is>
          <t>ПЗ</t>
        </is>
      </c>
      <c r="M143" s="4" t="n">
        <v>80</v>
      </c>
      <c r="P143" s="4" t="inlineStr">
        <is>
          <t>Кокчу</t>
        </is>
      </c>
      <c r="Q143" s="4" t="inlineStr">
        <is>
          <t>ЦП</t>
        </is>
      </c>
      <c r="R143" s="4" t="n">
        <v>82</v>
      </c>
      <c r="U143" s="4" t="inlineStr">
        <is>
          <t>Пачо</t>
        </is>
      </c>
      <c r="V143" s="4" t="inlineStr">
        <is>
          <t>ЦЗ</t>
        </is>
      </c>
      <c r="W143" s="4" t="n">
        <v>82</v>
      </c>
      <c r="Z143" s="4" t="inlineStr">
        <is>
          <t>Гертруида</t>
        </is>
      </c>
      <c r="AA143" s="4" t="inlineStr">
        <is>
          <t>ПЗ</t>
        </is>
      </c>
      <c r="AB143" s="4" t="n">
        <v>79</v>
      </c>
      <c r="AE143" s="4" t="inlineStr">
        <is>
          <t>Виммер</t>
        </is>
      </c>
      <c r="AF143" s="4" t="inlineStr">
        <is>
          <t>ПФА</t>
        </is>
      </c>
      <c r="AG143" s="4" t="n">
        <v>81</v>
      </c>
      <c r="AJ143" s="4" t="inlineStr">
        <is>
          <t>Салай</t>
        </is>
      </c>
      <c r="AK143" s="4" t="inlineStr">
        <is>
          <t>ЦЗ</t>
        </is>
      </c>
      <c r="AL143" s="4" t="n">
        <v>77</v>
      </c>
    </row>
    <row r="144" ht="12" customHeight="1">
      <c r="A144" s="4" t="inlineStr">
        <is>
          <t>Фримпонг</t>
        </is>
      </c>
      <c r="B144" s="4" t="inlineStr">
        <is>
          <t>ПЗ</t>
        </is>
      </c>
      <c r="C144" s="4" t="n">
        <v>86</v>
      </c>
      <c r="F144" s="4" t="inlineStr">
        <is>
          <t>Адейеми</t>
        </is>
      </c>
      <c r="G144" s="4" t="inlineStr">
        <is>
          <t>ПФА</t>
        </is>
      </c>
      <c r="H144" s="4" t="n">
        <v>83</v>
      </c>
      <c r="K144" s="4" t="inlineStr">
        <is>
          <t>Руис</t>
        </is>
      </c>
      <c r="L144" s="4" t="inlineStr">
        <is>
          <t>ЦП</t>
        </is>
      </c>
      <c r="M144" s="4" t="n">
        <v>80</v>
      </c>
      <c r="P144" s="4" t="inlineStr">
        <is>
          <t>Симакан</t>
        </is>
      </c>
      <c r="Q144" s="4" t="inlineStr">
        <is>
          <t>ЦЗ</t>
        </is>
      </c>
      <c r="R144" s="4" t="n">
        <v>82</v>
      </c>
      <c r="U144" s="4" t="inlineStr">
        <is>
          <t>Тута</t>
        </is>
      </c>
      <c r="V144" s="4" t="inlineStr">
        <is>
          <t>ЦЗ</t>
        </is>
      </c>
      <c r="W144" s="4" t="n">
        <v>81</v>
      </c>
      <c r="Z144" s="4" t="inlineStr">
        <is>
          <t>Вайгль</t>
        </is>
      </c>
      <c r="AA144" s="4" t="inlineStr">
        <is>
          <t>ЦП</t>
        </is>
      </c>
      <c r="AB144" s="4" t="n">
        <v>78</v>
      </c>
      <c r="AE144" s="4" t="inlineStr">
        <is>
          <t>Маэле</t>
        </is>
      </c>
      <c r="AF144" s="4" t="inlineStr">
        <is>
          <t>ЛЗ</t>
        </is>
      </c>
      <c r="AG144" s="4" t="n">
        <v>81</v>
      </c>
      <c r="AJ144" s="4" t="inlineStr">
        <is>
          <t>Сугавару</t>
        </is>
      </c>
      <c r="AK144" s="4" t="inlineStr">
        <is>
          <t>ПЗ</t>
        </is>
      </c>
      <c r="AL144" s="4" t="n">
        <v>77</v>
      </c>
    </row>
    <row r="145" ht="12" customHeight="1">
      <c r="A145" s="4" t="inlineStr">
        <is>
          <t>Коман</t>
        </is>
      </c>
      <c r="B145" s="4" t="inlineStr">
        <is>
          <t>ЛФА</t>
        </is>
      </c>
      <c r="C145" s="4" t="n">
        <v>85</v>
      </c>
      <c r="F145" s="4" t="inlineStr">
        <is>
          <t>Мендеш</t>
        </is>
      </c>
      <c r="G145" s="4" t="inlineStr">
        <is>
          <t>ЛЗ</t>
        </is>
      </c>
      <c r="H145" s="4" t="n">
        <v>82</v>
      </c>
      <c r="K145" s="4" t="inlineStr">
        <is>
          <t>Синго</t>
        </is>
      </c>
      <c r="L145" s="4" t="inlineStr">
        <is>
          <t>ЦЗ</t>
        </is>
      </c>
      <c r="M145" s="4" t="n">
        <v>80</v>
      </c>
      <c r="P145" s="4" t="inlineStr">
        <is>
          <t>Клостерманн</t>
        </is>
      </c>
      <c r="Q145" s="4" t="inlineStr">
        <is>
          <t>ПЗ</t>
        </is>
      </c>
      <c r="R145" s="4" t="n">
        <v>81</v>
      </c>
      <c r="U145" s="4" t="inlineStr">
        <is>
          <t>Дина Эбимбе</t>
        </is>
      </c>
      <c r="V145" s="4" t="inlineStr">
        <is>
          <t>ЛФА</t>
        </is>
      </c>
      <c r="W145" s="4" t="n">
        <v>80</v>
      </c>
      <c r="Z145" s="4" t="inlineStr">
        <is>
          <t>Коронадо</t>
        </is>
      </c>
      <c r="AA145" s="4" t="inlineStr">
        <is>
          <t>ЦАП</t>
        </is>
      </c>
      <c r="AB145" s="4" t="n">
        <v>78</v>
      </c>
      <c r="AE145" s="4" t="inlineStr">
        <is>
          <t>Сванберг</t>
        </is>
      </c>
      <c r="AF145" s="4" t="inlineStr">
        <is>
          <t>ЦП</t>
        </is>
      </c>
      <c r="AG145" s="4" t="n">
        <v>80</v>
      </c>
      <c r="AJ145" s="4" t="inlineStr">
        <is>
          <t>Доку</t>
        </is>
      </c>
      <c r="AK145" s="4" t="inlineStr">
        <is>
          <t>ПФА</t>
        </is>
      </c>
      <c r="AL145" s="4" t="n">
        <v>76</v>
      </c>
    </row>
    <row r="146" ht="12" customHeight="1">
      <c r="A146" s="4" t="inlineStr">
        <is>
          <t>Рёль</t>
        </is>
      </c>
      <c r="B146" s="4" t="inlineStr">
        <is>
          <t>ЦАП</t>
        </is>
      </c>
      <c r="C146" s="4" t="n">
        <v>84</v>
      </c>
      <c r="F146" s="4" t="inlineStr">
        <is>
          <t>Хуммельс</t>
        </is>
      </c>
      <c r="G146" s="4" t="inlineStr">
        <is>
          <t>ЦЗ</t>
        </is>
      </c>
      <c r="H146" s="4" t="n">
        <v>82</v>
      </c>
      <c r="K146" s="4" t="inlineStr">
        <is>
          <t>Гюлер</t>
        </is>
      </c>
      <c r="L146" s="4" t="inlineStr">
        <is>
          <t>ЦАП</t>
        </is>
      </c>
      <c r="M146" s="4" t="n">
        <v>79</v>
      </c>
      <c r="P146" s="4" t="inlineStr">
        <is>
          <t>Сейвальд</t>
        </is>
      </c>
      <c r="Q146" s="4" t="inlineStr">
        <is>
          <t>ЦОП</t>
        </is>
      </c>
      <c r="R146" s="4" t="n">
        <v>81</v>
      </c>
      <c r="U146" s="4" t="inlineStr">
        <is>
          <t>Корона</t>
        </is>
      </c>
      <c r="V146" s="4" t="inlineStr">
        <is>
          <t>ПФА</t>
        </is>
      </c>
      <c r="W146" s="4" t="n">
        <v>80</v>
      </c>
      <c r="Z146" s="4" t="inlineStr">
        <is>
          <t>Нетц</t>
        </is>
      </c>
      <c r="AA146" s="4" t="inlineStr">
        <is>
          <t>ЛЗ</t>
        </is>
      </c>
      <c r="AB146" s="4" t="n">
        <v>76</v>
      </c>
      <c r="AE146" s="4" t="inlineStr">
        <is>
          <t>Фишер</t>
        </is>
      </c>
      <c r="AF146" s="4" t="inlineStr">
        <is>
          <t>ПЗ</t>
        </is>
      </c>
      <c r="AG146" s="4" t="n">
        <v>78</v>
      </c>
      <c r="AJ146" s="4" t="inlineStr">
        <is>
          <t>Керкес</t>
        </is>
      </c>
      <c r="AK146" s="4" t="inlineStr">
        <is>
          <t>ЛЗ</t>
        </is>
      </c>
      <c r="AL146" s="4" t="n">
        <v>75</v>
      </c>
    </row>
    <row r="147" ht="12" customHeight="1">
      <c r="A147" s="4" t="inlineStr">
        <is>
          <t>Сане</t>
        </is>
      </c>
      <c r="B147" s="4" t="inlineStr">
        <is>
          <t>ПФА</t>
        </is>
      </c>
      <c r="C147" s="4" t="n">
        <v>83</v>
      </c>
      <c r="F147" s="4" t="inlineStr">
        <is>
          <t>Марушич</t>
        </is>
      </c>
      <c r="G147" s="4" t="inlineStr">
        <is>
          <t>ПЗ</t>
        </is>
      </c>
      <c r="H147" s="4" t="n">
        <v>81</v>
      </c>
      <c r="K147" s="4" t="inlineStr">
        <is>
          <t>Хинкапи</t>
        </is>
      </c>
      <c r="L147" s="4" t="inlineStr">
        <is>
          <t>ЦЗ</t>
        </is>
      </c>
      <c r="M147" s="4" t="n">
        <v>77</v>
      </c>
      <c r="P147" s="4" t="inlineStr">
        <is>
          <t>Раум</t>
        </is>
      </c>
      <c r="Q147" s="4" t="inlineStr">
        <is>
          <t>ЛЗ</t>
        </is>
      </c>
      <c r="R147" s="4" t="n">
        <v>80</v>
      </c>
      <c r="U147" s="4" t="inlineStr">
        <is>
          <t>Нкунку</t>
        </is>
      </c>
      <c r="V147" s="4" t="inlineStr">
        <is>
          <t>ЛЗ</t>
        </is>
      </c>
      <c r="W147" s="4" t="n">
        <v>78</v>
      </c>
      <c r="Z147" s="4" t="inlineStr">
        <is>
          <t>Телло</t>
        </is>
      </c>
      <c r="AA147" s="4" t="inlineStr">
        <is>
          <t>ЛФА</t>
        </is>
      </c>
      <c r="AB147" s="4" t="n">
        <v>76</v>
      </c>
      <c r="AE147" s="4" t="inlineStr">
        <is>
          <t>Борнау</t>
        </is>
      </c>
      <c r="AF147" s="4" t="inlineStr">
        <is>
          <t>ЦЗ</t>
        </is>
      </c>
      <c r="AG147" s="4" t="n">
        <v>77</v>
      </c>
      <c r="AJ147" s="4" t="inlineStr">
        <is>
          <t>Стах</t>
        </is>
      </c>
      <c r="AK147" s="4" t="inlineStr">
        <is>
          <t>ЦП</t>
        </is>
      </c>
      <c r="AL147" s="4" t="n">
        <v>75</v>
      </c>
    </row>
    <row r="148" ht="12" customHeight="1">
      <c r="B148" s="3" t="inlineStr">
        <is>
          <t>запас</t>
        </is>
      </c>
      <c r="G148" s="3" t="inlineStr">
        <is>
          <t>запас</t>
        </is>
      </c>
      <c r="L148" s="3" t="inlineStr">
        <is>
          <t>запас</t>
        </is>
      </c>
      <c r="Q148" s="3" t="inlineStr">
        <is>
          <t>запас</t>
        </is>
      </c>
      <c r="V148" s="3" t="inlineStr">
        <is>
          <t>запас</t>
        </is>
      </c>
      <c r="AA148" s="3" t="inlineStr">
        <is>
          <t>запас</t>
        </is>
      </c>
      <c r="AF148" s="3" t="inlineStr">
        <is>
          <t>запас</t>
        </is>
      </c>
      <c r="AK148" s="3" t="inlineStr">
        <is>
          <t>запас</t>
        </is>
      </c>
    </row>
    <row r="149" ht="12" customHeight="1">
      <c r="A149" s="4" t="inlineStr">
        <is>
          <t>Банза</t>
        </is>
      </c>
      <c r="B149" s="4" t="inlineStr">
        <is>
          <t>ФРВ</t>
        </is>
      </c>
      <c r="C149" s="4" t="n">
        <v>83</v>
      </c>
      <c r="F149" s="4" t="inlineStr">
        <is>
          <t>Роналду</t>
        </is>
      </c>
      <c r="G149" s="4" t="inlineStr">
        <is>
          <t>ФРВ</t>
        </is>
      </c>
      <c r="H149" s="4" t="n">
        <v>86</v>
      </c>
      <c r="K149" s="4" t="inlineStr">
        <is>
          <t>Шик</t>
        </is>
      </c>
      <c r="L149" s="4" t="inlineStr">
        <is>
          <t>ФРВ</t>
        </is>
      </c>
      <c r="M149" s="4" t="n">
        <v>84</v>
      </c>
      <c r="P149" s="4" t="inlineStr">
        <is>
          <t>Бен-Йеддер</t>
        </is>
      </c>
      <c r="Q149" s="4" t="inlineStr">
        <is>
          <t>ФРВ</t>
        </is>
      </c>
      <c r="R149" s="4" t="n">
        <v>82</v>
      </c>
      <c r="U149" s="4" t="inlineStr">
        <is>
          <t>Навас</t>
        </is>
      </c>
      <c r="V149" s="4" t="inlineStr">
        <is>
          <t>ВРТ</t>
        </is>
      </c>
      <c r="W149" s="4" t="n">
        <v>85</v>
      </c>
      <c r="Z149" s="4" t="inlineStr">
        <is>
          <t>Миньоле</t>
        </is>
      </c>
      <c r="AA149" s="4" t="inlineStr">
        <is>
          <t>ВРТ</t>
        </is>
      </c>
      <c r="AB149" s="4" t="n">
        <v>80</v>
      </c>
      <c r="AE149" s="4" t="inlineStr">
        <is>
          <t>Шмейхель</t>
        </is>
      </c>
      <c r="AF149" s="4" t="inlineStr">
        <is>
          <t>ВРТ</t>
        </is>
      </c>
      <c r="AG149" s="4" t="n">
        <v>81</v>
      </c>
      <c r="AJ149" s="4" t="inlineStr">
        <is>
          <t>Бебу</t>
        </is>
      </c>
      <c r="AK149" s="4" t="inlineStr">
        <is>
          <t>ЛФА</t>
        </is>
      </c>
      <c r="AL149" s="4" t="n">
        <v>79</v>
      </c>
    </row>
    <row r="150" ht="12" customHeight="1">
      <c r="A150" s="4" t="inlineStr">
        <is>
          <t>Мариу</t>
        </is>
      </c>
      <c r="B150" s="4" t="inlineStr">
        <is>
          <t>ЦАП</t>
        </is>
      </c>
      <c r="C150" s="4" t="n">
        <v>83</v>
      </c>
      <c r="F150" s="4" t="inlineStr">
        <is>
          <t>Зюле</t>
        </is>
      </c>
      <c r="G150" s="4" t="inlineStr">
        <is>
          <t>ЦЗ</t>
        </is>
      </c>
      <c r="H150" s="4" t="n">
        <v>82</v>
      </c>
      <c r="K150" s="4" t="inlineStr">
        <is>
          <t>Та</t>
        </is>
      </c>
      <c r="L150" s="4" t="inlineStr">
        <is>
          <t>ЦЗ</t>
        </is>
      </c>
      <c r="M150" s="4" t="n">
        <v>81</v>
      </c>
      <c r="P150" s="4" t="inlineStr">
        <is>
          <t>Гулашчи</t>
        </is>
      </c>
      <c r="Q150" s="4" t="inlineStr">
        <is>
          <t>ВРТ</t>
        </is>
      </c>
      <c r="R150" s="4" t="n">
        <v>82</v>
      </c>
      <c r="U150" s="4" t="inlineStr">
        <is>
          <t>Бубакар Камара</t>
        </is>
      </c>
      <c r="V150" s="4" t="inlineStr">
        <is>
          <t>ЦП</t>
        </is>
      </c>
      <c r="W150" s="4" t="n">
        <v>81</v>
      </c>
      <c r="Z150" s="4" t="inlineStr">
        <is>
          <t>Нойхаус</t>
        </is>
      </c>
      <c r="AA150" s="4" t="inlineStr">
        <is>
          <t>ЦП</t>
        </is>
      </c>
      <c r="AB150" s="4" t="n">
        <v>79</v>
      </c>
      <c r="AE150" s="4" t="inlineStr">
        <is>
          <t>Ромариньо</t>
        </is>
      </c>
      <c r="AF150" s="4" t="inlineStr">
        <is>
          <t>ФРВ</t>
        </is>
      </c>
      <c r="AG150" s="4" t="n">
        <v>79</v>
      </c>
      <c r="AJ150" s="4" t="inlineStr">
        <is>
          <t>Дани Муньоз</t>
        </is>
      </c>
      <c r="AK150" s="4" t="inlineStr">
        <is>
          <t>ПЗ</t>
        </is>
      </c>
      <c r="AL150" s="4" t="n">
        <v>77</v>
      </c>
    </row>
    <row r="151" ht="12" customHeight="1">
      <c r="A151" s="4" t="inlineStr">
        <is>
          <t>Геррейро</t>
        </is>
      </c>
      <c r="B151" s="4" t="inlineStr">
        <is>
          <t>ЛЗ</t>
        </is>
      </c>
      <c r="C151" s="4" t="n">
        <v>82</v>
      </c>
      <c r="F151" s="4" t="inlineStr">
        <is>
          <t>Шимански</t>
        </is>
      </c>
      <c r="G151" s="4" t="inlineStr">
        <is>
          <t>ЦАП</t>
        </is>
      </c>
      <c r="H151" s="4" t="n">
        <v>82</v>
      </c>
      <c r="K151" s="4" t="inlineStr">
        <is>
          <t>Оспина</t>
        </is>
      </c>
      <c r="L151" s="4" t="inlineStr">
        <is>
          <t>ВРТ</t>
        </is>
      </c>
      <c r="M151" s="4" t="n">
        <v>80</v>
      </c>
      <c r="P151" s="4" t="inlineStr">
        <is>
          <t>Фабиньо</t>
        </is>
      </c>
      <c r="Q151" s="4" t="inlineStr">
        <is>
          <t>ЦОП</t>
        </is>
      </c>
      <c r="R151" s="4" t="n">
        <v>82</v>
      </c>
      <c r="U151" s="4" t="inlineStr">
        <is>
          <t>Агуэрд</t>
        </is>
      </c>
      <c r="V151" s="4" t="inlineStr">
        <is>
          <t>ЦЗ</t>
        </is>
      </c>
      <c r="W151" s="4" t="n">
        <v>79</v>
      </c>
      <c r="Z151" s="4" t="inlineStr">
        <is>
          <t>Крамер</t>
        </is>
      </c>
      <c r="AA151" s="4" t="inlineStr">
        <is>
          <t>ЦП</t>
        </is>
      </c>
      <c r="AB151" s="4" t="n">
        <v>77</v>
      </c>
      <c r="AE151" s="4" t="inlineStr">
        <is>
          <t>Руи</t>
        </is>
      </c>
      <c r="AF151" s="4" t="inlineStr">
        <is>
          <t>ЛЗ</t>
        </is>
      </c>
      <c r="AG151" s="4" t="n">
        <v>79</v>
      </c>
      <c r="AJ151" s="4" t="inlineStr">
        <is>
          <t>Бултер</t>
        </is>
      </c>
      <c r="AK151" s="4" t="inlineStr">
        <is>
          <t>ПФА</t>
        </is>
      </c>
      <c r="AL151" s="4" t="n">
        <v>76</v>
      </c>
    </row>
    <row r="152" ht="12" customHeight="1">
      <c r="A152" s="4" t="inlineStr">
        <is>
          <t>Джака</t>
        </is>
      </c>
      <c r="B152" s="4" t="inlineStr">
        <is>
          <t>ЦП</t>
        </is>
      </c>
      <c r="C152" s="4" t="n">
        <v>82</v>
      </c>
      <c r="F152" s="4" t="inlineStr">
        <is>
          <t>Дзаканьи</t>
        </is>
      </c>
      <c r="G152" s="4" t="inlineStr">
        <is>
          <t>ЛФА</t>
        </is>
      </c>
      <c r="H152" s="4" t="n">
        <v>80</v>
      </c>
      <c r="K152" s="4" t="inlineStr">
        <is>
          <t>Паласиос</t>
        </is>
      </c>
      <c r="L152" s="4" t="inlineStr">
        <is>
          <t>ЦОП</t>
        </is>
      </c>
      <c r="M152" s="4" t="n">
        <v>78</v>
      </c>
      <c r="P152" s="4" t="inlineStr">
        <is>
          <t>Инсинье</t>
        </is>
      </c>
      <c r="Q152" s="4" t="inlineStr">
        <is>
          <t>ЛФА</t>
        </is>
      </c>
      <c r="R152" s="4" t="n">
        <v>81</v>
      </c>
      <c r="U152" s="4" t="inlineStr">
        <is>
          <t>Робертон</t>
        </is>
      </c>
      <c r="V152" s="4" t="inlineStr">
        <is>
          <t>ЦП</t>
        </is>
      </c>
      <c r="W152" s="4" t="n">
        <v>79</v>
      </c>
      <c r="Z152" s="4" t="inlineStr">
        <is>
          <t>Хонорат</t>
        </is>
      </c>
      <c r="AA152" s="4" t="inlineStr">
        <is>
          <t>ЛФА</t>
        </is>
      </c>
      <c r="AB152" s="4" t="n">
        <v>77</v>
      </c>
      <c r="AE152" s="4" t="inlineStr">
        <is>
          <t>Саму Гарсия</t>
        </is>
      </c>
      <c r="AF152" s="4" t="inlineStr">
        <is>
          <t>ЦП</t>
        </is>
      </c>
      <c r="AG152" s="4" t="n">
        <v>79</v>
      </c>
      <c r="AJ152" s="4" t="inlineStr">
        <is>
          <t>Нюбель</t>
        </is>
      </c>
      <c r="AK152" s="4" t="inlineStr">
        <is>
          <t>ВРТ</t>
        </is>
      </c>
      <c r="AL152" s="4" t="n">
        <v>76</v>
      </c>
    </row>
    <row r="153" ht="12" customHeight="1">
      <c r="A153" s="4" t="inlineStr">
        <is>
          <t>Мазрауи</t>
        </is>
      </c>
      <c r="B153" s="4" t="inlineStr">
        <is>
          <t>ПЗ</t>
        </is>
      </c>
      <c r="C153" s="4" t="n">
        <v>82</v>
      </c>
      <c r="F153" s="4" t="inlineStr">
        <is>
          <t>Забитцер</t>
        </is>
      </c>
      <c r="G153" s="4" t="inlineStr">
        <is>
          <t>ЦП</t>
        </is>
      </c>
      <c r="H153" s="4" t="n">
        <v>80</v>
      </c>
      <c r="K153" s="4" t="inlineStr">
        <is>
          <t>Амири</t>
        </is>
      </c>
      <c r="L153" s="4" t="inlineStr">
        <is>
          <t>ЦАП</t>
        </is>
      </c>
      <c r="M153" s="4" t="n">
        <v>77</v>
      </c>
      <c r="P153" s="4" t="inlineStr">
        <is>
          <t>Баумгартнер</t>
        </is>
      </c>
      <c r="Q153" s="4" t="inlineStr">
        <is>
          <t>ЦП</t>
        </is>
      </c>
      <c r="R153" s="4" t="n">
        <v>80</v>
      </c>
      <c r="U153" s="4" t="inlineStr">
        <is>
          <t>Шурс</t>
        </is>
      </c>
      <c r="V153" s="4" t="inlineStr">
        <is>
          <t>ЦЗ</t>
        </is>
      </c>
      <c r="W153" s="4" t="n">
        <v>79</v>
      </c>
      <c r="Z153" s="4" t="inlineStr">
        <is>
          <t>Эльведи</t>
        </is>
      </c>
      <c r="AA153" s="4" t="inlineStr">
        <is>
          <t>ЦЗ</t>
        </is>
      </c>
      <c r="AB153" s="4" t="n">
        <v>77</v>
      </c>
      <c r="AE153" s="4" t="inlineStr">
        <is>
          <t>Вега</t>
        </is>
      </c>
      <c r="AF153" s="4" t="inlineStr">
        <is>
          <t>ЛФА</t>
        </is>
      </c>
      <c r="AG153" s="4" t="n">
        <v>78</v>
      </c>
      <c r="AJ153" s="4" t="inlineStr">
        <is>
          <t>Акпогума</t>
        </is>
      </c>
      <c r="AK153" s="4" t="inlineStr">
        <is>
          <t>ЦЗ</t>
        </is>
      </c>
      <c r="AL153" s="4" t="n">
        <v>75</v>
      </c>
    </row>
    <row r="154" ht="12" customHeight="1">
      <c r="A154" s="4" t="inlineStr">
        <is>
          <t>Сориа</t>
        </is>
      </c>
      <c r="B154" s="4" t="inlineStr">
        <is>
          <t>ВРТ</t>
        </is>
      </c>
      <c r="C154" s="4" t="n">
        <v>81</v>
      </c>
      <c r="F154" s="4" t="inlineStr">
        <is>
          <t>Райерсон</t>
        </is>
      </c>
      <c r="G154" s="4" t="inlineStr">
        <is>
          <t>ПЗ</t>
        </is>
      </c>
      <c r="H154" s="4" t="n">
        <v>79</v>
      </c>
      <c r="K154" s="4" t="inlineStr">
        <is>
          <t>Тринкао</t>
        </is>
      </c>
      <c r="L154" s="4" t="inlineStr">
        <is>
          <t>ПФА</t>
        </is>
      </c>
      <c r="M154" s="4" t="n">
        <v>77</v>
      </c>
      <c r="P154" s="4" t="inlineStr">
        <is>
          <t>Лукеба</t>
        </is>
      </c>
      <c r="Q154" s="4" t="inlineStr">
        <is>
          <t>ЦЗ</t>
        </is>
      </c>
      <c r="R154" s="4" t="n">
        <v>80</v>
      </c>
      <c r="U154" s="4" t="inlineStr">
        <is>
          <t>Гьокереш</t>
        </is>
      </c>
      <c r="V154" s="4" t="inlineStr">
        <is>
          <t>ФРВ</t>
        </is>
      </c>
      <c r="W154" s="4" t="n">
        <v>78</v>
      </c>
      <c r="Z154" s="4" t="inlineStr">
        <is>
          <t>Траоре</t>
        </is>
      </c>
      <c r="AA154" s="4" t="inlineStr">
        <is>
          <t>ПФА</t>
        </is>
      </c>
      <c r="AB154" s="4" t="n">
        <v>75</v>
      </c>
      <c r="AE154" s="4" t="inlineStr">
        <is>
          <t>Герхардт</t>
        </is>
      </c>
      <c r="AF154" s="4" t="inlineStr">
        <is>
          <t>ЦП</t>
        </is>
      </c>
      <c r="AG154" s="4" t="n">
        <v>77</v>
      </c>
      <c r="AJ154" s="4" t="inlineStr">
        <is>
          <t>Самассеку</t>
        </is>
      </c>
      <c r="AK154" s="4" t="inlineStr">
        <is>
          <t>ЦОП</t>
        </is>
      </c>
      <c r="AL154" s="4" t="n">
        <v>75</v>
      </c>
    </row>
    <row r="155" ht="12" customHeight="1">
      <c r="A155" s="4" t="inlineStr">
        <is>
          <t>Залевски</t>
        </is>
      </c>
      <c r="B155" s="4" t="inlineStr">
        <is>
          <t>ПФА</t>
        </is>
      </c>
      <c r="C155" s="4" t="n">
        <v>80</v>
      </c>
      <c r="F155" s="4" t="inlineStr">
        <is>
          <t>Мейер</t>
        </is>
      </c>
      <c r="G155" s="4" t="inlineStr">
        <is>
          <t>ВРТ</t>
        </is>
      </c>
      <c r="H155" s="4" t="n">
        <v>74</v>
      </c>
      <c r="K155" s="4" t="inlineStr">
        <is>
          <t>Косуну</t>
        </is>
      </c>
      <c r="L155" s="4" t="inlineStr">
        <is>
          <t>ЦЗ</t>
        </is>
      </c>
      <c r="M155" s="4" t="n">
        <v>76</v>
      </c>
      <c r="P155" s="4" t="inlineStr">
        <is>
          <t>Кадыоглу</t>
        </is>
      </c>
      <c r="Q155" s="4" t="inlineStr">
        <is>
          <t>ЛЗ</t>
        </is>
      </c>
      <c r="R155" s="4" t="n">
        <v>77</v>
      </c>
      <c r="U155" s="4" t="inlineStr">
        <is>
          <t>Нету</t>
        </is>
      </c>
      <c r="V155" s="4" t="inlineStr">
        <is>
          <t>ЛФА</t>
        </is>
      </c>
      <c r="W155" s="4" t="n">
        <v>77</v>
      </c>
      <c r="Z155" s="4" t="inlineStr">
        <is>
          <t>Льюис</t>
        </is>
      </c>
      <c r="AA155" s="4" t="inlineStr">
        <is>
          <t>ПЗ</t>
        </is>
      </c>
      <c r="AB155" s="4" t="n">
        <v>73</v>
      </c>
      <c r="AE155" s="4" t="inlineStr">
        <is>
          <t>Йенц</t>
        </is>
      </c>
      <c r="AF155" s="4" t="inlineStr">
        <is>
          <t>ЦЗ</t>
        </is>
      </c>
      <c r="AG155" s="4" t="n">
        <v>74</v>
      </c>
      <c r="AJ155" s="4" t="inlineStr">
        <is>
          <t>Жустван</t>
        </is>
      </c>
      <c r="AK155" s="4" t="inlineStr">
        <is>
          <t>ЦАП</t>
        </is>
      </c>
      <c r="AL155" s="4" t="n">
        <v>70</v>
      </c>
    </row>
    <row r="156" ht="12" customHeight="1">
      <c r="B156" s="3" t="inlineStr">
        <is>
          <t>резерв</t>
        </is>
      </c>
      <c r="G156" s="3" t="inlineStr">
        <is>
          <t>резерв</t>
        </is>
      </c>
      <c r="L156" s="3" t="inlineStr">
        <is>
          <t>резерв</t>
        </is>
      </c>
      <c r="Q156" s="3" t="inlineStr">
        <is>
          <t>резерв</t>
        </is>
      </c>
      <c r="V156" s="3" t="inlineStr">
        <is>
          <t>резерв</t>
        </is>
      </c>
      <c r="AA156" s="3" t="inlineStr">
        <is>
          <t>резерв</t>
        </is>
      </c>
      <c r="AF156" s="3" t="inlineStr">
        <is>
          <t>резерв</t>
        </is>
      </c>
      <c r="AK156" s="3" t="inlineStr">
        <is>
          <t>резерв</t>
        </is>
      </c>
    </row>
    <row r="157" ht="12" customHeight="1">
      <c r="A157" s="4" t="inlineStr">
        <is>
          <t>Айду</t>
        </is>
      </c>
      <c r="B157" s="4" t="inlineStr">
        <is>
          <t>ЦЗ</t>
        </is>
      </c>
      <c r="C157" s="4" t="n">
        <v>81</v>
      </c>
      <c r="F157" s="4" t="inlineStr">
        <is>
          <t>Аллер</t>
        </is>
      </c>
      <c r="G157" s="4" t="inlineStr">
        <is>
          <t>ФРВ</t>
        </is>
      </c>
      <c r="H157" s="4" t="n">
        <v>83</v>
      </c>
      <c r="K157" s="4" t="inlineStr">
        <is>
          <t>Барроу</t>
        </is>
      </c>
      <c r="L157" s="4" t="inlineStr">
        <is>
          <t>ФРВ</t>
        </is>
      </c>
      <c r="M157" s="4" t="n">
        <v>77</v>
      </c>
      <c r="P157" s="4" t="inlineStr">
        <is>
          <t>Аурснес</t>
        </is>
      </c>
      <c r="Q157" s="4" t="inlineStr">
        <is>
          <t>ПЗ</t>
        </is>
      </c>
      <c r="R157" s="4" t="n">
        <v>80</v>
      </c>
      <c r="U157" s="4" t="inlineStr">
        <is>
          <t>Скхири</t>
        </is>
      </c>
      <c r="V157" s="4" t="inlineStr">
        <is>
          <t>ЦОП</t>
        </is>
      </c>
      <c r="W157" s="4" t="n">
        <v>81</v>
      </c>
      <c r="Z157" s="4" t="inlineStr">
        <is>
          <t>Троссар</t>
        </is>
      </c>
      <c r="AA157" s="4" t="inlineStr">
        <is>
          <t>ЦАП</t>
        </is>
      </c>
      <c r="AB157" s="4" t="n">
        <v>77</v>
      </c>
      <c r="AE157" s="4" t="inlineStr">
        <is>
          <t>Фирмино</t>
        </is>
      </c>
      <c r="AF157" s="4" t="inlineStr">
        <is>
          <t>ФРВ</t>
        </is>
      </c>
      <c r="AG157" s="4" t="n">
        <v>82</v>
      </c>
      <c r="AJ157" s="4" t="inlineStr">
        <is>
          <t>Генри Мартин</t>
        </is>
      </c>
      <c r="AK157" s="4" t="inlineStr">
        <is>
          <t>ФРВ</t>
        </is>
      </c>
      <c r="AL157" s="4" t="n">
        <v>79</v>
      </c>
    </row>
    <row r="158" ht="12" customHeight="1">
      <c r="A158" s="4" t="inlineStr">
        <is>
          <t>Грохе</t>
        </is>
      </c>
      <c r="B158" s="4" t="inlineStr">
        <is>
          <t>ВРТ</t>
        </is>
      </c>
      <c r="C158" s="4" t="n">
        <v>79</v>
      </c>
      <c r="F158" s="4" t="inlineStr">
        <is>
          <t>Брандт</t>
        </is>
      </c>
      <c r="G158" s="4" t="inlineStr">
        <is>
          <t>ЦАП</t>
        </is>
      </c>
      <c r="H158" s="4" t="n">
        <v>81</v>
      </c>
      <c r="K158" s="4" t="inlineStr">
        <is>
          <t>Конан</t>
        </is>
      </c>
      <c r="L158" s="4" t="inlineStr">
        <is>
          <t>ЛЗ</t>
        </is>
      </c>
      <c r="M158" s="4" t="n">
        <v>77</v>
      </c>
      <c r="P158" s="4" t="inlineStr">
        <is>
          <t>Форсберг</t>
        </is>
      </c>
      <c r="Q158" s="4" t="inlineStr">
        <is>
          <t>ЦАП</t>
        </is>
      </c>
      <c r="R158" s="4" t="n">
        <v>80</v>
      </c>
      <c r="U158" s="4" t="inlineStr">
        <is>
          <t>Сент-Максимен</t>
        </is>
      </c>
      <c r="V158" s="4" t="inlineStr">
        <is>
          <t>ЛФА</t>
        </is>
      </c>
      <c r="W158" s="4" t="n">
        <v>78</v>
      </c>
      <c r="Z158" s="4" t="inlineStr">
        <is>
          <t>Вёбер</t>
        </is>
      </c>
      <c r="AA158" s="4" t="inlineStr">
        <is>
          <t>ЦЗ</t>
        </is>
      </c>
      <c r="AB158" s="4" t="n">
        <v>76</v>
      </c>
      <c r="AE158" s="4" t="inlineStr">
        <is>
          <t>Ливай Гарсия</t>
        </is>
      </c>
      <c r="AF158" s="4" t="inlineStr">
        <is>
          <t>ФРВ</t>
        </is>
      </c>
      <c r="AG158" s="4" t="n">
        <v>77</v>
      </c>
      <c r="AJ158" s="4" t="inlineStr">
        <is>
          <t>Гриллич</t>
        </is>
      </c>
      <c r="AK158" s="4" t="inlineStr">
        <is>
          <t>ЦОП</t>
        </is>
      </c>
      <c r="AL158" s="4" t="n">
        <v>76</v>
      </c>
    </row>
    <row r="159" ht="12" customHeight="1">
      <c r="A159" s="4" t="inlineStr">
        <is>
          <t>Ди Григорио</t>
        </is>
      </c>
      <c r="B159" s="4" t="inlineStr">
        <is>
          <t>ВРТ</t>
        </is>
      </c>
      <c r="C159" s="4" t="n">
        <v>79</v>
      </c>
      <c r="F159" s="4" t="inlineStr">
        <is>
          <t>Влаходимос</t>
        </is>
      </c>
      <c r="G159" s="4" t="inlineStr">
        <is>
          <t>ВРТ</t>
        </is>
      </c>
      <c r="H159" s="4" t="n">
        <v>81</v>
      </c>
      <c r="K159" s="4" t="inlineStr">
        <is>
          <t>Кухта</t>
        </is>
      </c>
      <c r="L159" s="4" t="inlineStr">
        <is>
          <t>ФРВ</t>
        </is>
      </c>
      <c r="M159" s="4" t="n">
        <v>76</v>
      </c>
      <c r="P159" s="4" t="inlineStr">
        <is>
          <t>Биссума</t>
        </is>
      </c>
      <c r="Q159" s="4" t="inlineStr">
        <is>
          <t>ЦОП</t>
        </is>
      </c>
      <c r="R159" s="4" t="n">
        <v>79</v>
      </c>
      <c r="U159" s="4" t="inlineStr">
        <is>
          <t>Бута</t>
        </is>
      </c>
      <c r="V159" s="4" t="inlineStr">
        <is>
          <t>ПП</t>
        </is>
      </c>
      <c r="W159" s="4" t="n">
        <v>75</v>
      </c>
      <c r="Z159" s="4" t="inlineStr">
        <is>
          <t>Лайнер</t>
        </is>
      </c>
      <c r="AA159" s="4" t="inlineStr">
        <is>
          <t>ПЗ</t>
        </is>
      </c>
      <c r="AB159" s="4" t="n">
        <v>75</v>
      </c>
      <c r="AE159" s="4" t="inlineStr">
        <is>
          <t>Пош</t>
        </is>
      </c>
      <c r="AF159" s="4" t="inlineStr">
        <is>
          <t>ПЗ</t>
        </is>
      </c>
      <c r="AG159" s="4" t="n">
        <v>77</v>
      </c>
      <c r="AJ159" s="4" t="inlineStr">
        <is>
          <t>Рейна</t>
        </is>
      </c>
      <c r="AK159" s="4" t="inlineStr">
        <is>
          <t>ПФА</t>
        </is>
      </c>
      <c r="AL159" s="4" t="n">
        <v>76</v>
      </c>
    </row>
    <row r="160" ht="12" customHeight="1">
      <c r="A160" s="4" t="inlineStr">
        <is>
          <t>Куеллар</t>
        </is>
      </c>
      <c r="B160" s="4" t="inlineStr">
        <is>
          <t>ЦОП</t>
        </is>
      </c>
      <c r="C160" s="4" t="n">
        <v>78</v>
      </c>
      <c r="F160" s="4" t="inlineStr">
        <is>
          <t>Гимараеш</t>
        </is>
      </c>
      <c r="G160" s="4" t="inlineStr">
        <is>
          <t>ЦОП</t>
        </is>
      </c>
      <c r="H160" s="4" t="n">
        <v>81</v>
      </c>
      <c r="K160" s="4" t="inlineStr">
        <is>
          <t>Обляков</t>
        </is>
      </c>
      <c r="L160" s="4" t="inlineStr">
        <is>
          <t>ЦП</t>
        </is>
      </c>
      <c r="M160" s="4" t="n">
        <v>75</v>
      </c>
      <c r="P160" s="4" t="inlineStr">
        <is>
          <t>Шлагер</t>
        </is>
      </c>
      <c r="Q160" s="4" t="inlineStr">
        <is>
          <t>ЦОП</t>
        </is>
      </c>
      <c r="R160" s="4" t="n">
        <v>79</v>
      </c>
      <c r="U160" s="4" t="inlineStr">
        <is>
          <t>Мбемо</t>
        </is>
      </c>
      <c r="V160" s="4" t="inlineStr">
        <is>
          <t>ПФА</t>
        </is>
      </c>
      <c r="W160" s="4" t="n">
        <v>74</v>
      </c>
      <c r="Z160" s="4" t="inlineStr">
        <is>
          <t>Скалли</t>
        </is>
      </c>
      <c r="AA160" s="4" t="inlineStr">
        <is>
          <t>ПЗ</t>
        </is>
      </c>
      <c r="AB160" s="4" t="n">
        <v>75</v>
      </c>
      <c r="AE160" s="4" t="inlineStr">
        <is>
          <t>Холс</t>
        </is>
      </c>
      <c r="AF160" s="4" t="inlineStr">
        <is>
          <t>ЦЗ</t>
        </is>
      </c>
      <c r="AG160" s="4" t="n">
        <v>77</v>
      </c>
      <c r="AJ160" s="4" t="inlineStr">
        <is>
          <t>Фогт</t>
        </is>
      </c>
      <c r="AK160" s="4" t="inlineStr">
        <is>
          <t>ЦЗ</t>
        </is>
      </c>
      <c r="AL160" s="4" t="n">
        <v>76</v>
      </c>
    </row>
    <row r="161" ht="12" customHeight="1">
      <c r="A161" s="4" t="inlineStr">
        <is>
          <t>Лаймер</t>
        </is>
      </c>
      <c r="B161" s="4" t="inlineStr">
        <is>
          <t>ЦП</t>
        </is>
      </c>
      <c r="C161" s="4" t="n">
        <v>78</v>
      </c>
      <c r="F161" s="4" t="inlineStr">
        <is>
          <t>Нмеча</t>
        </is>
      </c>
      <c r="G161" s="4" t="inlineStr">
        <is>
          <t>ЦП</t>
        </is>
      </c>
      <c r="H161" s="4" t="n">
        <v>76</v>
      </c>
      <c r="K161" s="4" t="inlineStr">
        <is>
          <t>Станишич</t>
        </is>
      </c>
      <c r="L161" s="4" t="inlineStr">
        <is>
          <t>ПЗ</t>
        </is>
      </c>
      <c r="M161" s="4" t="n">
        <v>75</v>
      </c>
      <c r="P161" s="4" t="inlineStr">
        <is>
          <t>Изуни</t>
        </is>
      </c>
      <c r="Q161" s="4" t="inlineStr">
        <is>
          <t>ФРВ</t>
        </is>
      </c>
      <c r="R161" s="4" t="n">
        <v>78</v>
      </c>
      <c r="U161" s="4" t="inlineStr">
        <is>
          <t>Ларссон</t>
        </is>
      </c>
      <c r="V161" s="4" t="inlineStr">
        <is>
          <t>ЦП</t>
        </is>
      </c>
      <c r="W161" s="4" t="n">
        <v>69</v>
      </c>
      <c r="Z161" s="4" t="inlineStr">
        <is>
          <t>Фридрих</t>
        </is>
      </c>
      <c r="AA161" s="4" t="inlineStr">
        <is>
          <t>ЦЗ</t>
        </is>
      </c>
      <c r="AB161" s="4" t="n">
        <v>74</v>
      </c>
      <c r="AE161" s="4" t="inlineStr">
        <is>
          <t>Буфаль</t>
        </is>
      </c>
      <c r="AF161" s="4" t="inlineStr">
        <is>
          <t>ФРВ</t>
        </is>
      </c>
      <c r="AG161" s="4" t="n">
        <v>76</v>
      </c>
      <c r="AJ161" s="4" t="inlineStr">
        <is>
          <t>Кабак</t>
        </is>
      </c>
      <c r="AK161" s="4" t="inlineStr">
        <is>
          <t>ЦЗ</t>
        </is>
      </c>
      <c r="AL161" s="4" t="n">
        <v>75</v>
      </c>
    </row>
    <row r="162" ht="12" customHeight="1">
      <c r="A162" s="4" t="inlineStr">
        <is>
          <t>Мотинг</t>
        </is>
      </c>
      <c r="B162" s="4" t="inlineStr">
        <is>
          <t>ФРВ</t>
        </is>
      </c>
      <c r="C162" s="4" t="n">
        <v>78</v>
      </c>
      <c r="F162" s="4" t="inlineStr">
        <is>
          <t>Галларно</t>
        </is>
      </c>
      <c r="G162" s="4" t="inlineStr">
        <is>
          <t>ЛЗ</t>
        </is>
      </c>
      <c r="H162" s="4" t="n">
        <v>75</v>
      </c>
      <c r="K162" s="4" t="inlineStr">
        <is>
          <t>Стиллер</t>
        </is>
      </c>
      <c r="L162" s="4" t="inlineStr">
        <is>
          <t>ЦП</t>
        </is>
      </c>
      <c r="M162" s="4" t="n">
        <v>73</v>
      </c>
      <c r="P162" s="4" t="inlineStr">
        <is>
          <t>Хайдара</t>
        </is>
      </c>
      <c r="Q162" s="4" t="inlineStr">
        <is>
          <t>ЦП</t>
        </is>
      </c>
      <c r="R162" s="4" t="n">
        <v>78</v>
      </c>
      <c r="U162" s="4" t="n"/>
      <c r="V162" s="4" t="n"/>
      <c r="W162" s="4" t="n"/>
      <c r="Z162" s="4" t="inlineStr">
        <is>
          <t>Себашё</t>
        </is>
      </c>
      <c r="AA162" s="4" t="inlineStr">
        <is>
          <t>ФРВ</t>
        </is>
      </c>
      <c r="AB162" s="4" t="n">
        <v>73</v>
      </c>
      <c r="AE162" s="4" t="inlineStr">
        <is>
          <t>Оздоев</t>
        </is>
      </c>
      <c r="AF162" s="4" t="inlineStr">
        <is>
          <t>ЦП</t>
        </is>
      </c>
      <c r="AG162" s="4" t="n">
        <v>76</v>
      </c>
      <c r="AJ162" s="4" t="inlineStr">
        <is>
          <t>Довбык</t>
        </is>
      </c>
      <c r="AK162" s="4" t="inlineStr">
        <is>
          <t>ФРВ</t>
        </is>
      </c>
      <c r="AL162" s="4" t="n">
        <v>73</v>
      </c>
    </row>
    <row r="163" ht="12" customHeight="1">
      <c r="A163" s="4" t="inlineStr">
        <is>
          <t>Давсари</t>
        </is>
      </c>
      <c r="B163" s="4" t="inlineStr">
        <is>
          <t>ЛП</t>
        </is>
      </c>
      <c r="C163" s="4" t="n">
        <v>77</v>
      </c>
      <c r="F163" s="4" t="inlineStr">
        <is>
          <t>Мукоко</t>
        </is>
      </c>
      <c r="G163" s="4" t="inlineStr">
        <is>
          <t>ФРВ</t>
        </is>
      </c>
      <c r="H163" s="4" t="n">
        <v>75</v>
      </c>
      <c r="K163" s="4" t="n"/>
      <c r="L163" s="4" t="n"/>
      <c r="M163" s="4" t="n"/>
      <c r="P163" s="4" t="inlineStr">
        <is>
          <t>Блашвич</t>
        </is>
      </c>
      <c r="Q163" s="4" t="inlineStr">
        <is>
          <t>ВРТ</t>
        </is>
      </c>
      <c r="R163" s="4" t="n">
        <v>77</v>
      </c>
      <c r="U163" s="4" t="n"/>
      <c r="V163" s="4" t="n"/>
      <c r="W163" s="4" t="n"/>
      <c r="Z163" s="4" t="n"/>
      <c r="AA163" s="4" t="n"/>
      <c r="AB163" s="4" t="n"/>
      <c r="AE163" s="4" t="inlineStr">
        <is>
          <t>Батши</t>
        </is>
      </c>
      <c r="AF163" s="4" t="inlineStr">
        <is>
          <t>ПФА</t>
        </is>
      </c>
      <c r="AG163" s="4" t="n">
        <v>73</v>
      </c>
      <c r="AJ163" s="4" t="inlineStr">
        <is>
          <t>Лекуе</t>
        </is>
      </c>
      <c r="AK163" s="4" t="inlineStr">
        <is>
          <t>ПЗ</t>
        </is>
      </c>
      <c r="AL163" s="4" t="n">
        <v>73</v>
      </c>
    </row>
    <row r="164" ht="12" customHeight="1">
      <c r="A164" s="4" t="n"/>
      <c r="B164" s="4" t="n"/>
      <c r="C164" s="4" t="n"/>
      <c r="F164" s="4" t="inlineStr">
        <is>
          <t>Шарахили</t>
        </is>
      </c>
      <c r="G164" s="4" t="inlineStr">
        <is>
          <t>ЦЗ</t>
        </is>
      </c>
      <c r="H164" s="4" t="n">
        <v>75</v>
      </c>
      <c r="K164" s="4" t="n"/>
      <c r="L164" s="4" t="n"/>
      <c r="M164" s="4" t="n"/>
      <c r="P164" s="4" t="inlineStr">
        <is>
          <t>Солет</t>
        </is>
      </c>
      <c r="Q164" s="4" t="inlineStr">
        <is>
          <t>ЦЗ</t>
        </is>
      </c>
      <c r="R164" s="4" t="n">
        <v>76</v>
      </c>
      <c r="U164" s="4" t="n"/>
      <c r="V164" s="4" t="n"/>
      <c r="W164" s="4" t="n"/>
      <c r="Z164" s="4" t="n"/>
      <c r="AA164" s="4" t="n"/>
      <c r="AB164" s="4" t="n"/>
      <c r="AE164" s="4" t="n"/>
      <c r="AF164" s="4" t="n"/>
      <c r="AG164" s="4" t="n"/>
      <c r="AJ164" s="4" t="inlineStr">
        <is>
          <t>Нсоки</t>
        </is>
      </c>
      <c r="AK164" s="4" t="inlineStr">
        <is>
          <t>ЦЗ</t>
        </is>
      </c>
      <c r="AL164" s="4" t="n">
        <v>72</v>
      </c>
    </row>
    <row r="165" ht="12" customHeight="1">
      <c r="A165" s="4" t="n"/>
      <c r="B165" s="4" t="n"/>
      <c r="C165" s="4" t="n"/>
      <c r="F165" s="4" t="n"/>
      <c r="G165" s="4" t="n"/>
      <c r="H165" s="4" t="n"/>
      <c r="K165" s="4" t="n"/>
      <c r="L165" s="4" t="n"/>
      <c r="M165" s="4" t="n"/>
      <c r="P165" s="4" t="inlineStr">
        <is>
          <t>Судаков</t>
        </is>
      </c>
      <c r="Q165" s="4" t="inlineStr">
        <is>
          <t>ЦАП</t>
        </is>
      </c>
      <c r="R165" s="4" t="n">
        <v>75</v>
      </c>
      <c r="U165" s="4" t="n"/>
      <c r="V165" s="4" t="n"/>
      <c r="W165" s="4" t="n"/>
      <c r="Z165" s="4" t="n"/>
      <c r="AA165" s="4" t="n"/>
      <c r="AB165" s="4" t="n"/>
      <c r="AE165" s="4" t="n"/>
      <c r="AF165" s="4" t="n"/>
      <c r="AG165" s="4" t="n"/>
      <c r="AJ165" s="4" t="inlineStr">
        <is>
          <t>Джон</t>
        </is>
      </c>
      <c r="AK165" s="4" t="inlineStr">
        <is>
          <t>ЛЗ</t>
        </is>
      </c>
      <c r="AL165" s="4" t="n">
        <v>71</v>
      </c>
    </row>
  </sheetData>
  <mergeCells count="161">
    <mergeCell ref="F36:H36"/>
    <mergeCell ref="L82:M82"/>
    <mergeCell ref="P36:R36"/>
    <mergeCell ref="V82:W82"/>
    <mergeCell ref="AA90:AB90"/>
    <mergeCell ref="G136:H136"/>
    <mergeCell ref="B115:C115"/>
    <mergeCell ref="AJ102:AL102"/>
    <mergeCell ref="Z3:AB3"/>
    <mergeCell ref="AF49:AG49"/>
    <mergeCell ref="AA37:AB37"/>
    <mergeCell ref="AA24:AB24"/>
    <mergeCell ref="F102:H102"/>
    <mergeCell ref="AF103:AG103"/>
    <mergeCell ref="Q156:R156"/>
    <mergeCell ref="G57:H57"/>
    <mergeCell ref="AJ36:AL36"/>
    <mergeCell ref="P102:R102"/>
    <mergeCell ref="L136:M136"/>
    <mergeCell ref="AA57:AB57"/>
    <mergeCell ref="AA123:AB123"/>
    <mergeCell ref="V136:W136"/>
    <mergeCell ref="Z69:AB69"/>
    <mergeCell ref="AK148:AL148"/>
    <mergeCell ref="G148:H148"/>
    <mergeCell ref="L4:M4"/>
    <mergeCell ref="Q90:R90"/>
    <mergeCell ref="AA16:AB16"/>
    <mergeCell ref="AK16:AL16"/>
    <mergeCell ref="G123:H123"/>
    <mergeCell ref="K3:M3"/>
    <mergeCell ref="Q49:R49"/>
    <mergeCell ref="V70:W70"/>
    <mergeCell ref="B49:C49"/>
    <mergeCell ref="P135:R135"/>
    <mergeCell ref="B24:C24"/>
    <mergeCell ref="K36:M36"/>
    <mergeCell ref="V90:W90"/>
    <mergeCell ref="U36:W36"/>
    <mergeCell ref="AF90:AG90"/>
    <mergeCell ref="A69:C69"/>
    <mergeCell ref="B16:C16"/>
    <mergeCell ref="AF37:AG37"/>
    <mergeCell ref="L16:M16"/>
    <mergeCell ref="B90:C90"/>
    <mergeCell ref="B156:C156"/>
    <mergeCell ref="Q37:R37"/>
    <mergeCell ref="AF24:AG24"/>
    <mergeCell ref="K102:M102"/>
    <mergeCell ref="AK103:AL103"/>
    <mergeCell ref="AF82:AG82"/>
    <mergeCell ref="A3:C3"/>
    <mergeCell ref="L57:M57"/>
    <mergeCell ref="U135:W135"/>
    <mergeCell ref="V156:W156"/>
    <mergeCell ref="Q136:R136"/>
    <mergeCell ref="G70:H70"/>
    <mergeCell ref="U3:W3"/>
    <mergeCell ref="AF57:AG57"/>
    <mergeCell ref="AF148:AG148"/>
    <mergeCell ref="AA136:AB136"/>
    <mergeCell ref="AK4:AL4"/>
    <mergeCell ref="AF16:AG16"/>
    <mergeCell ref="AK24:AL24"/>
    <mergeCell ref="P3:R3"/>
    <mergeCell ref="AA4:AB4"/>
    <mergeCell ref="AA70:AB70"/>
    <mergeCell ref="G49:H49"/>
    <mergeCell ref="G24:H24"/>
    <mergeCell ref="B103:C103"/>
    <mergeCell ref="B37:C37"/>
    <mergeCell ref="V103:W103"/>
    <mergeCell ref="Z36:AB36"/>
    <mergeCell ref="AK90:AL90"/>
    <mergeCell ref="F69:H69"/>
    <mergeCell ref="Q123:R123"/>
    <mergeCell ref="Q148:R148"/>
    <mergeCell ref="G16:H16"/>
    <mergeCell ref="AK37:AL37"/>
    <mergeCell ref="AK49:AL49"/>
    <mergeCell ref="G90:H90"/>
    <mergeCell ref="V37:W37"/>
    <mergeCell ref="Z135:AB135"/>
    <mergeCell ref="AJ135:AL135"/>
    <mergeCell ref="F3:H3"/>
    <mergeCell ref="Q57:R57"/>
    <mergeCell ref="L70:M70"/>
    <mergeCell ref="AA82:AB82"/>
    <mergeCell ref="AF70:AG70"/>
    <mergeCell ref="AF136:AG136"/>
    <mergeCell ref="G115:H115"/>
    <mergeCell ref="L103:M103"/>
    <mergeCell ref="Q115:R115"/>
    <mergeCell ref="AE135:AG135"/>
    <mergeCell ref="AF4:AG4"/>
    <mergeCell ref="U102:W102"/>
    <mergeCell ref="AF156:AG156"/>
    <mergeCell ref="L24:M24"/>
    <mergeCell ref="A135:C135"/>
    <mergeCell ref="G103:H103"/>
    <mergeCell ref="G37:H37"/>
    <mergeCell ref="Q103:R103"/>
    <mergeCell ref="V24:W24"/>
    <mergeCell ref="V115:W115"/>
    <mergeCell ref="AE69:AG69"/>
    <mergeCell ref="AA103:AB103"/>
    <mergeCell ref="B57:C57"/>
    <mergeCell ref="B148:C148"/>
    <mergeCell ref="B82:C82"/>
    <mergeCell ref="Q4:R4"/>
    <mergeCell ref="V148:W148"/>
    <mergeCell ref="V123:W123"/>
    <mergeCell ref="L123:M123"/>
    <mergeCell ref="V49:W49"/>
    <mergeCell ref="AF123:AG123"/>
    <mergeCell ref="Q70:R70"/>
    <mergeCell ref="L115:M115"/>
    <mergeCell ref="P69:R69"/>
    <mergeCell ref="AF115:AG115"/>
    <mergeCell ref="B4:C4"/>
    <mergeCell ref="Q16:R16"/>
    <mergeCell ref="AA156:AB156"/>
    <mergeCell ref="AK82:AL82"/>
    <mergeCell ref="Z102:AB102"/>
    <mergeCell ref="AK156:AL156"/>
    <mergeCell ref="Q24:R24"/>
    <mergeCell ref="AK57:AL57"/>
    <mergeCell ref="F135:H135"/>
    <mergeCell ref="L37:M37"/>
    <mergeCell ref="AJ3:AL3"/>
    <mergeCell ref="AA115:AB115"/>
    <mergeCell ref="AJ69:AL69"/>
    <mergeCell ref="G82:H82"/>
    <mergeCell ref="V4:W4"/>
    <mergeCell ref="B70:C70"/>
    <mergeCell ref="G156:H156"/>
    <mergeCell ref="Q82:R82"/>
    <mergeCell ref="AA148:AB148"/>
    <mergeCell ref="B136:C136"/>
    <mergeCell ref="AA49:AB49"/>
    <mergeCell ref="AK123:AL123"/>
    <mergeCell ref="A102:C102"/>
    <mergeCell ref="L156:M156"/>
    <mergeCell ref="AE36:AG36"/>
    <mergeCell ref="K69:M69"/>
    <mergeCell ref="U69:W69"/>
    <mergeCell ref="AK115:AL115"/>
    <mergeCell ref="A1:AN1"/>
    <mergeCell ref="G4:H4"/>
    <mergeCell ref="A36:C36"/>
    <mergeCell ref="L90:M90"/>
    <mergeCell ref="V16:W16"/>
    <mergeCell ref="L148:M148"/>
    <mergeCell ref="V57:W57"/>
    <mergeCell ref="L49:M49"/>
    <mergeCell ref="B123:C123"/>
    <mergeCell ref="AE102:AG102"/>
    <mergeCell ref="AE3:AG3"/>
    <mergeCell ref="K135:M135"/>
    <mergeCell ref="AK136:AL136"/>
    <mergeCell ref="AK70:AL70"/>
  </mergeCells>
  <conditionalFormatting sqref="A5:A33">
    <cfRule type="expression" priority="1" dxfId="0">
      <formula>AND(LEN(A5)&gt;0,ISERROR(MATCH(A5,_orig!$A$2:$A$27,0)))</formula>
    </cfRule>
  </conditionalFormatting>
  <conditionalFormatting sqref="F5:F33">
    <cfRule type="expression" priority="2" dxfId="0">
      <formula>AND(LEN(F5)&gt;0,ISERROR(MATCH(F5,_orig!$B$2:$B$25,0)))</formula>
    </cfRule>
  </conditionalFormatting>
  <conditionalFormatting sqref="K5:K33">
    <cfRule type="expression" priority="3" dxfId="0">
      <formula>AND(LEN(K5)&gt;0,ISERROR(MATCH(K5,_orig!$C$2:$C$26,0)))</formula>
    </cfRule>
  </conditionalFormatting>
  <conditionalFormatting sqref="P5:P33">
    <cfRule type="expression" priority="4" dxfId="0">
      <formula>AND(LEN(P5)&gt;0,ISERROR(MATCH(P5,_orig!$D$2:$D$26,0)))</formula>
    </cfRule>
  </conditionalFormatting>
  <conditionalFormatting sqref="U5:U33">
    <cfRule type="expression" priority="5" dxfId="0">
      <formula>AND(LEN(U5)&gt;0,ISERROR(MATCH(U5,_orig!$E$2:$E$25,0)))</formula>
    </cfRule>
  </conditionalFormatting>
  <conditionalFormatting sqref="Z5:Z33">
    <cfRule type="expression" priority="6" dxfId="0">
      <formula>AND(LEN(Z5)&gt;0,ISERROR(MATCH(Z5,_orig!$F$2:$F$27,0)))</formula>
    </cfRule>
  </conditionalFormatting>
  <conditionalFormatting sqref="AE5:AE33">
    <cfRule type="expression" priority="7" dxfId="0">
      <formula>AND(LEN(AE5)&gt;0,ISERROR(MATCH(AE5,_orig!$G$2:$G$26,0)))</formula>
    </cfRule>
  </conditionalFormatting>
  <conditionalFormatting sqref="AJ5:AJ33">
    <cfRule type="expression" priority="8" dxfId="0">
      <formula>AND(LEN(AJ5)&gt;0,ISERROR(MATCH(AJ5,_orig!$H$2:$H$26,0)))</formula>
    </cfRule>
  </conditionalFormatting>
  <conditionalFormatting sqref="A38:A66">
    <cfRule type="expression" priority="9" dxfId="0">
      <formula>AND(LEN(A38)&gt;0,ISERROR(MATCH(A38,_orig!$I$2:$I$26,0)))</formula>
    </cfRule>
  </conditionalFormatting>
  <conditionalFormatting sqref="F38:F66">
    <cfRule type="expression" priority="10" dxfId="0">
      <formula>AND(LEN(F38)&gt;0,ISERROR(MATCH(F38,_orig!$J$2:$J$26,0)))</formula>
    </cfRule>
  </conditionalFormatting>
  <conditionalFormatting sqref="K38:K66">
    <cfRule type="expression" priority="11" dxfId="0">
      <formula>AND(LEN(K38)&gt;0,ISERROR(MATCH(K38,_orig!$K$2:$K$26,0)))</formula>
    </cfRule>
  </conditionalFormatting>
  <conditionalFormatting sqref="P38:P66">
    <cfRule type="expression" priority="12" dxfId="0">
      <formula>AND(LEN(P38)&gt;0,ISERROR(MATCH(P38,_orig!$L$2:$L$26,0)))</formula>
    </cfRule>
  </conditionalFormatting>
  <conditionalFormatting sqref="U38:U66">
    <cfRule type="expression" priority="13" dxfId="0">
      <formula>AND(LEN(U38)&gt;0,ISERROR(MATCH(U38,_orig!$M$2:$M$28,0)))</formula>
    </cfRule>
  </conditionalFormatting>
  <conditionalFormatting sqref="Z38:Z66">
    <cfRule type="expression" priority="14" dxfId="0">
      <formula>AND(LEN(Z38)&gt;0,ISERROR(MATCH(Z38,_orig!$N$2:$N$26,0)))</formula>
    </cfRule>
  </conditionalFormatting>
  <conditionalFormatting sqref="AE38:AE66">
    <cfRule type="expression" priority="15" dxfId="0">
      <formula>AND(LEN(AE38)&gt;0,ISERROR(MATCH(AE38,_orig!$O$2:$O$27,0)))</formula>
    </cfRule>
  </conditionalFormatting>
  <conditionalFormatting sqref="AJ38:AJ66">
    <cfRule type="expression" priority="16" dxfId="0">
      <formula>AND(LEN(AJ38)&gt;0,ISERROR(MATCH(AJ38,_orig!$P$2:$P$26,0)))</formula>
    </cfRule>
  </conditionalFormatting>
  <conditionalFormatting sqref="A71:A99">
    <cfRule type="expression" priority="17" dxfId="0">
      <formula>AND(LEN(A71)&gt;0,ISERROR(MATCH(A71,_orig!$Q$2:$Q$26,0)))</formula>
    </cfRule>
  </conditionalFormatting>
  <conditionalFormatting sqref="F71:F99">
    <cfRule type="expression" priority="18" dxfId="0">
      <formula>AND(LEN(F71)&gt;0,ISERROR(MATCH(F71,_orig!$R$2:$R$26,0)))</formula>
    </cfRule>
  </conditionalFormatting>
  <conditionalFormatting sqref="K71:K99">
    <cfRule type="expression" priority="19" dxfId="0">
      <formula>AND(LEN(K71)&gt;0,ISERROR(MATCH(K71,_orig!$S$2:$S$26,0)))</formula>
    </cfRule>
  </conditionalFormatting>
  <conditionalFormatting sqref="P71:P99">
    <cfRule type="expression" priority="20" dxfId="0">
      <formula>AND(LEN(P71)&gt;0,ISERROR(MATCH(P71,_orig!$T$2:$T$26,0)))</formula>
    </cfRule>
  </conditionalFormatting>
  <conditionalFormatting sqref="U71:U99">
    <cfRule type="expression" priority="21" dxfId="0">
      <formula>AND(LEN(U71)&gt;0,ISERROR(MATCH(U71,_orig!$U$2:$U$25,0)))</formula>
    </cfRule>
  </conditionalFormatting>
  <conditionalFormatting sqref="Z71:Z99">
    <cfRule type="expression" priority="22" dxfId="0">
      <formula>AND(LEN(Z71)&gt;0,ISERROR(MATCH(Z71,_orig!$V$2:$V$25,0)))</formula>
    </cfRule>
  </conditionalFormatting>
  <conditionalFormatting sqref="AE71:AE99">
    <cfRule type="expression" priority="23" dxfId="0">
      <formula>AND(LEN(AE71)&gt;0,ISERROR(MATCH(AE71,_orig!$W$2:$W$25,0)))</formula>
    </cfRule>
  </conditionalFormatting>
  <conditionalFormatting sqref="AJ71:AJ99">
    <cfRule type="expression" priority="24" dxfId="0">
      <formula>AND(LEN(AJ71)&gt;0,ISERROR(MATCH(AJ71,_orig!$X$2:$X$25,0)))</formula>
    </cfRule>
  </conditionalFormatting>
  <conditionalFormatting sqref="A104:A132">
    <cfRule type="expression" priority="25" dxfId="0">
      <formula>AND(LEN(A104)&gt;0,ISERROR(MATCH(A104,_orig!$Y$2:$Y$26,0)))</formula>
    </cfRule>
  </conditionalFormatting>
  <conditionalFormatting sqref="F104:F132">
    <cfRule type="expression" priority="26" dxfId="0">
      <formula>AND(LEN(F104)&gt;0,ISERROR(MATCH(F104,_orig!$Z$2:$Z$28,0)))</formula>
    </cfRule>
  </conditionalFormatting>
  <conditionalFormatting sqref="K104:K132">
    <cfRule type="expression" priority="27" dxfId="0">
      <formula>AND(LEN(K104)&gt;0,ISERROR(MATCH(K104,_orig!$AA$2:$AA$25,0)))</formula>
    </cfRule>
  </conditionalFormatting>
  <conditionalFormatting sqref="P104:P132">
    <cfRule type="expression" priority="28" dxfId="0">
      <formula>AND(LEN(P104)&gt;0,ISERROR(MATCH(P104,_orig!$AB$2:$AB$25,0)))</formula>
    </cfRule>
  </conditionalFormatting>
  <conditionalFormatting sqref="U104:U132">
    <cfRule type="expression" priority="29" dxfId="0">
      <formula>AND(LEN(U104)&gt;0,ISERROR(MATCH(U104,_orig!$AC$2:$AC$25,0)))</formula>
    </cfRule>
  </conditionalFormatting>
  <conditionalFormatting sqref="Z104:Z132">
    <cfRule type="expression" priority="30" dxfId="0">
      <formula>AND(LEN(Z104)&gt;0,ISERROR(MATCH(Z104,_orig!$AD$2:$AD$27,0)))</formula>
    </cfRule>
  </conditionalFormatting>
  <conditionalFormatting sqref="AE104:AE132">
    <cfRule type="expression" priority="31" dxfId="0">
      <formula>AND(LEN(AE104)&gt;0,ISERROR(MATCH(AE104,_orig!$AE$2:$AE$24,0)))</formula>
    </cfRule>
  </conditionalFormatting>
  <conditionalFormatting sqref="AJ104:AJ132">
    <cfRule type="expression" priority="32" dxfId="0">
      <formula>AND(LEN(AJ104)&gt;0,ISERROR(MATCH(AJ104,_orig!$AF$2:$AF$26,0)))</formula>
    </cfRule>
  </conditionalFormatting>
  <conditionalFormatting sqref="A137:A165">
    <cfRule type="expression" priority="33" dxfId="0">
      <formula>AND(LEN(A137)&gt;0,ISERROR(MATCH(A137,_orig!$AG$2:$AG$26,0)))</formula>
    </cfRule>
  </conditionalFormatting>
  <conditionalFormatting sqref="F137:F165">
    <cfRule type="expression" priority="34" dxfId="0">
      <formula>AND(LEN(F137)&gt;0,ISERROR(MATCH(F137,_orig!$AH$2:$AH$27,0)))</formula>
    </cfRule>
  </conditionalFormatting>
  <conditionalFormatting sqref="K137:K165">
    <cfRule type="expression" priority="35" dxfId="0">
      <formula>AND(LEN(K137)&gt;0,ISERROR(MATCH(K137,_orig!$AI$2:$AI$25,0)))</formula>
    </cfRule>
  </conditionalFormatting>
  <conditionalFormatting sqref="P137:P165">
    <cfRule type="expression" priority="36" dxfId="0">
      <formula>AND(LEN(P137)&gt;0,ISERROR(MATCH(P137,_orig!$AJ$2:$AJ$28,0)))</formula>
    </cfRule>
  </conditionalFormatting>
  <conditionalFormatting sqref="U137:U165">
    <cfRule type="expression" priority="37" dxfId="0">
      <formula>AND(LEN(U137)&gt;0,ISERROR(MATCH(U137,_orig!$AK$2:$AK$24,0)))</formula>
    </cfRule>
  </conditionalFormatting>
  <conditionalFormatting sqref="Z137:Z165">
    <cfRule type="expression" priority="38" dxfId="0">
      <formula>AND(LEN(Z137)&gt;0,ISERROR(MATCH(Z137,_orig!$AL$2:$AL$25,0)))</formula>
    </cfRule>
  </conditionalFormatting>
  <conditionalFormatting sqref="AE137:AE165">
    <cfRule type="expression" priority="39" dxfId="0">
      <formula>AND(LEN(AE137)&gt;0,ISERROR(MATCH(AE137,_orig!$AM$2:$AM$26,0)))</formula>
    </cfRule>
  </conditionalFormatting>
  <conditionalFormatting sqref="AJ137:AJ165">
    <cfRule type="expression" priority="40" dxfId="0">
      <formula>AND(LEN(AJ137)&gt;0,ISERROR(MATCH(AJ137,_orig!$AN$2:$AN$28,0)))</formula>
    </cfRule>
  </conditionalFormatting>
  <pageMargins left="0.25" right="0.25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5" t="inlineStr">
        <is>
          <t>Цска</t>
        </is>
      </c>
      <c r="B1" s="5" t="inlineStr">
        <is>
          <t>Зенит</t>
        </is>
      </c>
      <c r="C1" s="5" t="inlineStr">
        <is>
          <t>Краснодар</t>
        </is>
      </c>
      <c r="D1" s="5" t="inlineStr">
        <is>
          <t>Локомотив</t>
        </is>
      </c>
      <c r="E1" s="5" t="inlineStr">
        <is>
          <t>Спартак</t>
        </is>
      </c>
      <c r="F1" s="5" t="inlineStr">
        <is>
          <t>Динамо</t>
        </is>
      </c>
      <c r="G1" s="5" t="inlineStr">
        <is>
          <t>Крылья Советов</t>
        </is>
      </c>
      <c r="H1" s="5" t="inlineStr">
        <is>
          <t>Урал</t>
        </is>
      </c>
      <c r="I1" s="5" t="inlineStr">
        <is>
          <t>Сити</t>
        </is>
      </c>
      <c r="J1" s="5" t="inlineStr">
        <is>
          <t>Мю</t>
        </is>
      </c>
      <c r="K1" s="5" t="inlineStr">
        <is>
          <t>Ливерпуль</t>
        </is>
      </c>
      <c r="L1" s="5" t="inlineStr">
        <is>
          <t>Арсенал</t>
        </is>
      </c>
      <c r="M1" s="5" t="inlineStr">
        <is>
          <t>Астон Вилла</t>
        </is>
      </c>
      <c r="N1" s="5" t="inlineStr">
        <is>
          <t>Челси</t>
        </is>
      </c>
      <c r="O1" s="5" t="inlineStr">
        <is>
          <t>Тоттенхэм</t>
        </is>
      </c>
      <c r="P1" s="5" t="inlineStr">
        <is>
          <t>Ньюкасл</t>
        </is>
      </c>
      <c r="Q1" s="5" t="inlineStr">
        <is>
          <t>Реал</t>
        </is>
      </c>
      <c r="R1" s="5" t="inlineStr">
        <is>
          <t>Барселона</t>
        </is>
      </c>
      <c r="S1" s="5" t="inlineStr">
        <is>
          <t>Атлетико</t>
        </is>
      </c>
      <c r="T1" s="5" t="inlineStr">
        <is>
          <t>Атлетик</t>
        </is>
      </c>
      <c r="U1" s="5" t="inlineStr">
        <is>
          <t>Реал Сосьедад</t>
        </is>
      </c>
      <c r="V1" s="5" t="inlineStr">
        <is>
          <t>Севилья</t>
        </is>
      </c>
      <c r="W1" s="5" t="inlineStr">
        <is>
          <t>Жирона</t>
        </is>
      </c>
      <c r="X1" s="5" t="inlineStr">
        <is>
          <t>Бетис</t>
        </is>
      </c>
      <c r="Y1" s="5" t="inlineStr">
        <is>
          <t>Интер</t>
        </is>
      </c>
      <c r="Z1" s="5" t="inlineStr">
        <is>
          <t>Милан</t>
        </is>
      </c>
      <c r="AA1" s="5" t="inlineStr">
        <is>
          <t>Ювентус</t>
        </is>
      </c>
      <c r="AB1" s="5" t="inlineStr">
        <is>
          <t>Наполи</t>
        </is>
      </c>
      <c r="AC1" s="5" t="inlineStr">
        <is>
          <t>Аталанта</t>
        </is>
      </c>
      <c r="AD1" s="5" t="inlineStr">
        <is>
          <t>Фиорентина</t>
        </is>
      </c>
      <c r="AE1" s="5" t="inlineStr">
        <is>
          <t>Лацио</t>
        </is>
      </c>
      <c r="AF1" s="5" t="inlineStr">
        <is>
          <t>Рома</t>
        </is>
      </c>
      <c r="AG1" s="5" t="inlineStr">
        <is>
          <t>Бавария</t>
        </is>
      </c>
      <c r="AH1" s="5" t="inlineStr">
        <is>
          <t>Дортмунд</t>
        </is>
      </c>
      <c r="AI1" s="5" t="inlineStr">
        <is>
          <t>Байер</t>
        </is>
      </c>
      <c r="AJ1" s="5" t="inlineStr">
        <is>
          <t>Лейпциг</t>
        </is>
      </c>
      <c r="AK1" s="5" t="inlineStr">
        <is>
          <t>Франкфурт</t>
        </is>
      </c>
      <c r="AL1" s="5" t="inlineStr">
        <is>
          <t>Боруссия М</t>
        </is>
      </c>
      <c r="AM1" s="5" t="inlineStr">
        <is>
          <t>Вольфсбург</t>
        </is>
      </c>
      <c r="AN1" s="5" t="inlineStr">
        <is>
          <t>Хоффенхайм</t>
        </is>
      </c>
    </row>
    <row r="2">
      <c r="A2" t="inlineStr">
        <is>
          <t>Балогун</t>
        </is>
      </c>
      <c r="B2" t="inlineStr">
        <is>
          <t>Давид</t>
        </is>
      </c>
      <c r="C2" t="inlineStr">
        <is>
          <t>Буанга</t>
        </is>
      </c>
      <c r="D2" t="inlineStr">
        <is>
          <t>Бардакджы</t>
        </is>
      </c>
      <c r="E2" t="inlineStr">
        <is>
          <t>Орта</t>
        </is>
      </c>
      <c r="F2" t="inlineStr">
        <is>
          <t>Альварез</t>
        </is>
      </c>
      <c r="G2" t="inlineStr">
        <is>
          <t>Бонджорно</t>
        </is>
      </c>
      <c r="H2" t="inlineStr">
        <is>
          <t>Гудмундсон</t>
        </is>
      </c>
      <c r="I2" t="inlineStr">
        <is>
          <t>Де Брюйне</t>
        </is>
      </c>
      <c r="J2" t="inlineStr">
        <is>
          <t>Фернандеш</t>
        </is>
      </c>
      <c r="K2" t="inlineStr">
        <is>
          <t>Алиссон</t>
        </is>
      </c>
      <c r="L2" t="inlineStr">
        <is>
          <t>Салиба</t>
        </is>
      </c>
      <c r="M2" t="inlineStr">
        <is>
          <t>Мартинез</t>
        </is>
      </c>
      <c r="N2" t="inlineStr">
        <is>
          <t>Марез</t>
        </is>
      </c>
      <c r="O2" t="inlineStr">
        <is>
          <t>Сон</t>
        </is>
      </c>
      <c r="P2" t="inlineStr">
        <is>
          <t>Буну</t>
        </is>
      </c>
      <c r="Q2" t="inlineStr">
        <is>
          <t>Кроос</t>
        </is>
      </c>
      <c r="R2" t="inlineStr">
        <is>
          <t>Лева</t>
        </is>
      </c>
      <c r="S2" t="inlineStr">
        <is>
          <t>Родри</t>
        </is>
      </c>
      <c r="T2" t="inlineStr">
        <is>
          <t>Леау</t>
        </is>
      </c>
      <c r="U2" t="inlineStr">
        <is>
          <t>Ремиро</t>
        </is>
      </c>
      <c r="V2" t="inlineStr">
        <is>
          <t>Гонсалвеш</t>
        </is>
      </c>
      <c r="W2" t="inlineStr">
        <is>
          <t>Газзанига</t>
        </is>
      </c>
      <c r="X2" t="inlineStr">
        <is>
          <t>Феликс</t>
        </is>
      </c>
      <c r="Y2" t="inlineStr">
        <is>
          <t>Берарди</t>
        </is>
      </c>
      <c r="Z2" t="inlineStr">
        <is>
          <t>Бензема</t>
        </is>
      </c>
      <c r="AA2" t="inlineStr">
        <is>
          <t>Влашич</t>
        </is>
      </c>
      <c r="AB2" t="inlineStr">
        <is>
          <t>Квара</t>
        </is>
      </c>
      <c r="AC2" t="inlineStr">
        <is>
          <t>Чесны</t>
        </is>
      </c>
      <c r="AD2" t="inlineStr">
        <is>
          <t>Гонзалез</t>
        </is>
      </c>
      <c r="AE2" t="inlineStr">
        <is>
          <t>Дардер</t>
        </is>
      </c>
      <c r="AF2" t="inlineStr">
        <is>
          <t>Гнабри</t>
        </is>
      </c>
      <c r="AG2" t="inlineStr">
        <is>
          <t>Кейн</t>
        </is>
      </c>
      <c r="AH2" t="inlineStr">
        <is>
          <t>Шлоттербек</t>
        </is>
      </c>
      <c r="AI2" t="inlineStr">
        <is>
          <t>Андрих</t>
        </is>
      </c>
      <c r="AJ2" t="inlineStr">
        <is>
          <t>Клаудиньо</t>
        </is>
      </c>
      <c r="AK2" t="inlineStr">
        <is>
          <t>Гётце</t>
        </is>
      </c>
      <c r="AL2" t="inlineStr">
        <is>
          <t>Кванкара</t>
        </is>
      </c>
      <c r="AM2" t="inlineStr">
        <is>
          <t>Кастилс</t>
        </is>
      </c>
      <c r="AN2" t="inlineStr">
        <is>
          <t>Аспас</t>
        </is>
      </c>
    </row>
    <row r="3">
      <c r="A3" t="inlineStr">
        <is>
          <t>Гроб</t>
        </is>
      </c>
      <c r="B3" t="inlineStr">
        <is>
          <t>Кержаков</t>
        </is>
      </c>
      <c r="C3" t="inlineStr">
        <is>
          <t>Верету</t>
        </is>
      </c>
      <c r="D3" t="inlineStr">
        <is>
          <t>Гедеш</t>
        </is>
      </c>
      <c r="E3" t="inlineStr">
        <is>
          <t>Данк</t>
        </is>
      </c>
      <c r="F3" t="inlineStr">
        <is>
          <t>Карраскаль</t>
        </is>
      </c>
      <c r="G3" t="inlineStr">
        <is>
          <t>Ито</t>
        </is>
      </c>
      <c r="H3" t="inlineStr">
        <is>
          <t>Лафонт</t>
        </is>
      </c>
      <c r="I3" t="inlineStr">
        <is>
          <t>Месси</t>
        </is>
      </c>
      <c r="J3" t="inlineStr">
        <is>
          <t>Каземиро</t>
        </is>
      </c>
      <c r="K3" t="inlineStr">
        <is>
          <t>Жота</t>
        </is>
      </c>
      <c r="L3" t="inlineStr">
        <is>
          <t>Одегаард</t>
        </is>
      </c>
      <c r="M3" t="inlineStr">
        <is>
          <t>Джеймс</t>
        </is>
      </c>
      <c r="N3" t="inlineStr">
        <is>
          <t>Сильва</t>
        </is>
      </c>
      <c r="O3" t="inlineStr">
        <is>
          <t>Мэддисон</t>
        </is>
      </c>
      <c r="P3" t="inlineStr">
        <is>
          <t>Трипье</t>
        </is>
      </c>
      <c r="Q3" t="inlineStr">
        <is>
          <t>Нкунку</t>
        </is>
      </c>
      <c r="R3" t="inlineStr">
        <is>
          <t>Араухо</t>
        </is>
      </c>
      <c r="S3" t="inlineStr">
        <is>
          <t>Мората</t>
        </is>
      </c>
      <c r="T3" t="inlineStr">
        <is>
          <t>Сансет</t>
        </is>
      </c>
      <c r="U3" t="inlineStr">
        <is>
          <t>Вендел</t>
        </is>
      </c>
      <c r="V3" t="inlineStr">
        <is>
          <t>Рамос</t>
        </is>
      </c>
      <c r="W3" t="inlineStr">
        <is>
          <t>Жиру</t>
        </is>
      </c>
      <c r="X3" t="inlineStr">
        <is>
          <t>Шкриньяр</t>
        </is>
      </c>
      <c r="Y3" t="inlineStr">
        <is>
          <t>Зоммер</t>
        </is>
      </c>
      <c r="Z3" t="inlineStr">
        <is>
          <t>Вини</t>
        </is>
      </c>
      <c r="AA3" t="inlineStr">
        <is>
          <t>Проведель</t>
        </is>
      </c>
      <c r="AB3" t="inlineStr">
        <is>
          <t>Осимен</t>
        </is>
      </c>
      <c r="AC3" t="inlineStr">
        <is>
          <t>Миранчук</t>
        </is>
      </c>
      <c r="AD3" t="inlineStr">
        <is>
          <t>Секу Фофана</t>
        </is>
      </c>
      <c r="AE3" t="inlineStr">
        <is>
          <t>Торрес</t>
        </is>
      </c>
      <c r="AF3" t="inlineStr">
        <is>
          <t>Пеллегрини</t>
        </is>
      </c>
      <c r="AG3" t="inlineStr">
        <is>
          <t>Нойер</t>
        </is>
      </c>
      <c r="AH3" t="inlineStr">
        <is>
          <t>Кобель</t>
        </is>
      </c>
      <c r="AI3" t="inlineStr">
        <is>
          <t>Гримальдо</t>
        </is>
      </c>
      <c r="AJ3" t="inlineStr">
        <is>
          <t>Ольмо</t>
        </is>
      </c>
      <c r="AK3" t="inlineStr">
        <is>
          <t>Мусиаля</t>
        </is>
      </c>
      <c r="AL3" t="inlineStr">
        <is>
          <t>Кессие</t>
        </is>
      </c>
      <c r="AM3" t="inlineStr">
        <is>
          <t>Арнольд</t>
        </is>
      </c>
      <c r="AN3" t="inlineStr">
        <is>
          <t>Бауманн</t>
        </is>
      </c>
    </row>
    <row r="4">
      <c r="A4" t="inlineStr">
        <is>
          <t>Вебстер</t>
        </is>
      </c>
      <c r="B4" t="inlineStr">
        <is>
          <t>Трехо</t>
        </is>
      </c>
      <c r="C4" t="inlineStr">
        <is>
          <t>Лопез</t>
        </is>
      </c>
      <c r="D4" t="inlineStr">
        <is>
          <t>Муссо</t>
        </is>
      </c>
      <c r="E4" t="inlineStr">
        <is>
          <t>Далот</t>
        </is>
      </c>
      <c r="F4" t="inlineStr">
        <is>
          <t>Хенри</t>
        </is>
      </c>
      <c r="G4" t="inlineStr">
        <is>
          <t>Фергюсон</t>
        </is>
      </c>
      <c r="H4" t="inlineStr">
        <is>
          <t>Ольсен</t>
        </is>
      </c>
      <c r="I4" t="inlineStr">
        <is>
          <t>Холанд</t>
        </is>
      </c>
      <c r="J4" t="inlineStr">
        <is>
          <t>Милинкович-Савич</t>
        </is>
      </c>
      <c r="K4" t="inlineStr">
        <is>
          <t>Мбаппе</t>
        </is>
      </c>
      <c r="L4" t="inlineStr">
        <is>
          <t>Хаверц</t>
        </is>
      </c>
      <c r="M4" t="inlineStr">
        <is>
          <t>Торрес</t>
        </is>
      </c>
      <c r="N4" t="inlineStr">
        <is>
          <t>Стерлинг</t>
        </is>
      </c>
      <c r="O4" t="inlineStr">
        <is>
          <t>Хёйберг</t>
        </is>
      </c>
      <c r="P4" t="inlineStr">
        <is>
          <t>Исак</t>
        </is>
      </c>
      <c r="Q4" t="inlineStr">
        <is>
          <t>Родриго</t>
        </is>
      </c>
      <c r="R4" t="inlineStr">
        <is>
          <t>Педри</t>
        </is>
      </c>
      <c r="S4" t="inlineStr">
        <is>
          <t>Облак</t>
        </is>
      </c>
      <c r="T4" t="inlineStr">
        <is>
          <t>Вивиан</t>
        </is>
      </c>
      <c r="U4" t="inlineStr">
        <is>
          <t>Ди Мария</t>
        </is>
      </c>
      <c r="V4" t="inlineStr">
        <is>
          <t>Лукебакио</t>
        </is>
      </c>
      <c r="W4" t="inlineStr">
        <is>
          <t>Эступинан</t>
        </is>
      </c>
      <c r="X4" t="inlineStr">
        <is>
          <t>Витинья</t>
        </is>
      </c>
      <c r="Y4" t="inlineStr">
        <is>
          <t>Мартинез</t>
        </is>
      </c>
      <c r="Z4" t="inlineStr">
        <is>
          <t>Терраччано</t>
        </is>
      </c>
      <c r="AA4" t="inlineStr">
        <is>
          <t>Костич</t>
        </is>
      </c>
      <c r="AB4" t="inlineStr">
        <is>
          <t>Мерет</t>
        </is>
      </c>
      <c r="AC4" t="inlineStr">
        <is>
          <t>Муриэль</t>
        </is>
      </c>
      <c r="AD4" t="inlineStr">
        <is>
          <t>Нзола</t>
        </is>
      </c>
      <c r="AE4" t="inlineStr">
        <is>
          <t>Камада</t>
        </is>
      </c>
      <c r="AF4" t="inlineStr">
        <is>
          <t>Патрисио</t>
        </is>
      </c>
      <c r="AG4" t="inlineStr">
        <is>
          <t>Дэвис</t>
        </is>
      </c>
      <c r="AH4" t="inlineStr">
        <is>
          <t>Дибала</t>
        </is>
      </c>
      <c r="AI4" t="inlineStr">
        <is>
          <t>Хофманн</t>
        </is>
      </c>
      <c r="AJ4" t="inlineStr">
        <is>
          <t>Вернер</t>
        </is>
      </c>
      <c r="AK4" t="inlineStr">
        <is>
          <t>Трапп</t>
        </is>
      </c>
      <c r="AL4" t="inlineStr">
        <is>
          <t>Ливакович</t>
        </is>
      </c>
      <c r="AM4" t="inlineStr">
        <is>
          <t>Майер</t>
        </is>
      </c>
      <c r="AN4" t="inlineStr">
        <is>
          <t>Диоп</t>
        </is>
      </c>
    </row>
    <row r="5">
      <c r="A5" t="inlineStr">
        <is>
          <t>Симеоне</t>
        </is>
      </c>
      <c r="B5" t="inlineStr">
        <is>
          <t>Заха</t>
        </is>
      </c>
      <c r="C5" t="inlineStr">
        <is>
          <t>Клюверт</t>
        </is>
      </c>
      <c r="D5" t="inlineStr">
        <is>
          <t>Франковски</t>
        </is>
      </c>
      <c r="E5" t="inlineStr">
        <is>
          <t>Мухтар</t>
        </is>
      </c>
      <c r="F5" t="inlineStr">
        <is>
          <t>Шешко</t>
        </is>
      </c>
      <c r="G5" t="inlineStr">
        <is>
          <t>Какерет</t>
        </is>
      </c>
      <c r="H5" t="inlineStr">
        <is>
          <t>Каштанов</t>
        </is>
      </c>
      <c r="I5" t="inlineStr">
        <is>
          <t>Тонали</t>
        </is>
      </c>
      <c r="J5" t="inlineStr">
        <is>
          <t>Де Лигт</t>
        </is>
      </c>
      <c r="K5" t="inlineStr">
        <is>
          <t>Смоллинг</t>
        </is>
      </c>
      <c r="L5" t="inlineStr">
        <is>
          <t>Мерино</t>
        </is>
      </c>
      <c r="M5" t="inlineStr">
        <is>
          <t>Гакпо</t>
        </is>
      </c>
      <c r="N5" t="inlineStr">
        <is>
          <t>Фофана</t>
        </is>
      </c>
      <c r="O5" t="inlineStr">
        <is>
          <t>Бентанкур</t>
        </is>
      </c>
      <c r="P5" t="inlineStr">
        <is>
          <t>Рафа</t>
        </is>
      </c>
      <c r="Q5" t="inlineStr">
        <is>
          <t>Алаба</t>
        </is>
      </c>
      <c r="R5" t="inlineStr">
        <is>
          <t>Рафинья</t>
        </is>
      </c>
      <c r="S5" t="inlineStr">
        <is>
          <t>Рейнилдо</t>
        </is>
      </c>
      <c r="T5" t="inlineStr">
        <is>
          <t>Кулушевски</t>
        </is>
      </c>
      <c r="U5" t="inlineStr">
        <is>
          <t>Мендез</t>
        </is>
      </c>
      <c r="V5" t="inlineStr">
        <is>
          <t>Навас</t>
        </is>
      </c>
      <c r="W5" t="inlineStr">
        <is>
          <t>Алейш Гарсия</t>
        </is>
      </c>
      <c r="X5" t="inlineStr">
        <is>
          <t>Гидо Родригез</t>
        </is>
      </c>
      <c r="Y5" t="inlineStr">
        <is>
          <t>Барелла</t>
        </is>
      </c>
      <c r="Z5" t="inlineStr">
        <is>
          <t>Беннасер</t>
        </is>
      </c>
      <c r="AA5" t="inlineStr">
        <is>
          <t>Кьеза</t>
        </is>
      </c>
      <c r="AB5" t="inlineStr">
        <is>
          <t>Лоботка</t>
        </is>
      </c>
      <c r="AC5" t="inlineStr">
        <is>
          <t>Орбан</t>
        </is>
      </c>
      <c r="AD5" t="inlineStr">
        <is>
          <t>Мингз</t>
        </is>
      </c>
      <c r="AE5" t="inlineStr">
        <is>
          <t>Иммобиле</t>
        </is>
      </c>
      <c r="AF5" t="inlineStr">
        <is>
          <t>Азмун</t>
        </is>
      </c>
      <c r="AG5" t="inlineStr">
        <is>
          <t>Мин Дже</t>
        </is>
      </c>
      <c r="AH5" t="inlineStr">
        <is>
          <t>Мален</t>
        </is>
      </c>
      <c r="AI5" t="inlineStr">
        <is>
          <t>Градецки</t>
        </is>
      </c>
      <c r="AJ5" t="inlineStr">
        <is>
          <t>Доннарумма</t>
        </is>
      </c>
      <c r="AK5" t="inlineStr">
        <is>
          <t>Баку</t>
        </is>
      </c>
      <c r="AL5" t="inlineStr">
        <is>
          <t>Синистерра</t>
        </is>
      </c>
      <c r="AM5" t="inlineStr">
        <is>
          <t>Лакруа</t>
        </is>
      </c>
      <c r="AN5" t="inlineStr">
        <is>
          <t>Крамарич</t>
        </is>
      </c>
    </row>
    <row r="6">
      <c r="A6" t="inlineStr">
        <is>
          <t>Спортиелло</t>
        </is>
      </c>
      <c r="B6" t="inlineStr">
        <is>
          <t>Фомин</t>
        </is>
      </c>
      <c r="C6" t="inlineStr">
        <is>
          <t>Умтити</t>
        </is>
      </c>
      <c r="D6" t="inlineStr">
        <is>
          <t>Виффер</t>
        </is>
      </c>
      <c r="E6" t="inlineStr">
        <is>
          <t>Пепе</t>
        </is>
      </c>
      <c r="F6" t="inlineStr">
        <is>
          <t>Альваро Гарсия</t>
        </is>
      </c>
      <c r="G6" t="inlineStr">
        <is>
          <t>Ниакате</t>
        </is>
      </c>
      <c r="H6" t="inlineStr">
        <is>
          <t>Егорычев</t>
        </is>
      </c>
      <c r="I6" t="inlineStr">
        <is>
          <t>Габриэль</t>
        </is>
      </c>
      <c r="J6" t="inlineStr">
        <is>
          <t>Онана</t>
        </is>
      </c>
      <c r="K6" t="inlineStr">
        <is>
          <t>Александер-Арнольд</t>
        </is>
      </c>
      <c r="L6" t="inlineStr">
        <is>
          <t>Коло Муани</t>
        </is>
      </c>
      <c r="M6" t="inlineStr">
        <is>
          <t>Сперцян</t>
        </is>
      </c>
      <c r="N6" t="inlineStr">
        <is>
          <t>Энцо</t>
        </is>
      </c>
      <c r="O6" t="inlineStr">
        <is>
          <t>Ван Де Вен</t>
        </is>
      </c>
      <c r="P6" t="inlineStr">
        <is>
          <t>Ботман</t>
        </is>
      </c>
      <c r="Q6" t="inlineStr">
        <is>
          <t>Браим</t>
        </is>
      </c>
      <c r="R6" t="inlineStr">
        <is>
          <t>Тер Штеген</t>
        </is>
      </c>
      <c r="S6" t="inlineStr">
        <is>
          <t>Лемар</t>
        </is>
      </c>
      <c r="T6" t="inlineStr">
        <is>
          <t>Муниаин</t>
        </is>
      </c>
      <c r="U6" t="inlineStr">
        <is>
          <t>Оярзабаль</t>
        </is>
      </c>
      <c r="V6" t="inlineStr">
        <is>
          <t>Итакура</t>
        </is>
      </c>
      <c r="W6" t="inlineStr">
        <is>
          <t>Перейра</t>
        </is>
      </c>
      <c r="X6" t="inlineStr">
        <is>
          <t>Иско</t>
        </is>
      </c>
      <c r="Y6" t="inlineStr">
        <is>
          <t>Арнаутович</t>
        </is>
      </c>
      <c r="Z6" t="inlineStr">
        <is>
          <t>Хакими</t>
        </is>
      </c>
      <c r="AA6" t="inlineStr">
        <is>
          <t>Альба</t>
        </is>
      </c>
      <c r="AB6" t="inlineStr">
        <is>
          <t>Рахмани</t>
        </is>
      </c>
      <c r="AC6" t="inlineStr">
        <is>
          <t>Пашалич</t>
        </is>
      </c>
      <c r="AD6" t="inlineStr">
        <is>
          <t>Садик</t>
        </is>
      </c>
      <c r="AE6" t="inlineStr">
        <is>
          <t>Лаззари</t>
        </is>
      </c>
      <c r="AF6" t="inlineStr">
        <is>
          <t>Кристанте</t>
        </is>
      </c>
      <c r="AG6" t="inlineStr">
        <is>
          <t>Упамекано</t>
        </is>
      </c>
      <c r="AH6" t="inlineStr">
        <is>
          <t>Фред</t>
        </is>
      </c>
      <c r="AI6" t="inlineStr">
        <is>
          <t>Иконе</t>
        </is>
      </c>
      <c r="AJ6" t="inlineStr">
        <is>
          <t>Опенда</t>
        </is>
      </c>
      <c r="AK6" t="inlineStr">
        <is>
          <t>Мармуш</t>
        </is>
      </c>
      <c r="AL6" t="inlineStr">
        <is>
          <t>Фелипе</t>
        </is>
      </c>
      <c r="AM6" t="inlineStr">
        <is>
          <t>Линдстром</t>
        </is>
      </c>
      <c r="AN6" t="inlineStr">
        <is>
          <t>Бакайоко</t>
        </is>
      </c>
    </row>
    <row r="7">
      <c r="A7" t="inlineStr">
        <is>
          <t>Мойзес</t>
        </is>
      </c>
      <c r="B7" t="inlineStr">
        <is>
          <t>Алип</t>
        </is>
      </c>
      <c r="C7" t="inlineStr">
        <is>
          <t>Диоманде</t>
        </is>
      </c>
      <c r="D7" t="inlineStr">
        <is>
          <t>Миранчук</t>
        </is>
      </c>
      <c r="E7" t="inlineStr">
        <is>
          <t>Маркао</t>
        </is>
      </c>
      <c r="F7" t="inlineStr">
        <is>
          <t>Мауро</t>
        </is>
      </c>
      <c r="G7" t="inlineStr">
        <is>
          <t>Рахманович</t>
        </is>
      </c>
      <c r="H7" t="inlineStr">
        <is>
          <t>Бевеев</t>
        </is>
      </c>
      <c r="I7" t="inlineStr">
        <is>
          <t>Рэшфорд</t>
        </is>
      </c>
      <c r="J7" t="inlineStr">
        <is>
          <t>Брозович</t>
        </is>
      </c>
      <c r="K7" t="inlineStr">
        <is>
          <t>Робертсон</t>
        </is>
      </c>
      <c r="L7" t="inlineStr">
        <is>
          <t>Райс</t>
        </is>
      </c>
      <c r="M7" t="inlineStr">
        <is>
          <t>Тилеманс</t>
        </is>
      </c>
      <c r="N7" t="inlineStr">
        <is>
          <t>Санчез</t>
        </is>
      </c>
      <c r="O7" t="inlineStr">
        <is>
          <t>Ромеро</t>
        </is>
      </c>
      <c r="P7" t="inlineStr">
        <is>
          <t>Шар</t>
        </is>
      </c>
      <c r="Q7" t="inlineStr">
        <is>
          <t>Гарсия</t>
        </is>
      </c>
      <c r="R7" t="inlineStr">
        <is>
          <t>Бремер</t>
        </is>
      </c>
      <c r="S7" t="inlineStr">
        <is>
          <t>Молина</t>
        </is>
      </c>
      <c r="T7" t="inlineStr">
        <is>
          <t>Симон</t>
        </is>
      </c>
      <c r="U7" t="inlineStr">
        <is>
          <t>Кимпембе</t>
        </is>
      </c>
      <c r="V7" t="inlineStr">
        <is>
          <t>Карраско</t>
        </is>
      </c>
      <c r="W7" t="inlineStr">
        <is>
          <t>Мартинес</t>
        </is>
      </c>
      <c r="X7" t="inlineStr">
        <is>
          <t>Силва</t>
        </is>
      </c>
      <c r="Y7" t="inlineStr">
        <is>
          <t>Думфрис</t>
        </is>
      </c>
      <c r="Z7" t="inlineStr">
        <is>
          <t>Ангисса</t>
        </is>
      </c>
      <c r="AA7" t="inlineStr">
        <is>
          <t>Эн-Несри</t>
        </is>
      </c>
      <c r="AB7" t="inlineStr">
        <is>
          <t>Романьоли</t>
        </is>
      </c>
      <c r="AC7" t="inlineStr">
        <is>
          <t>Симонс</t>
        </is>
      </c>
      <c r="AD7" t="inlineStr">
        <is>
          <t>Бираги</t>
        </is>
      </c>
      <c r="AE7" t="inlineStr">
        <is>
          <t>Фраттези</t>
        </is>
      </c>
      <c r="AF7" t="inlineStr">
        <is>
          <t>Манчини</t>
        </is>
      </c>
      <c r="AG7" t="inlineStr">
        <is>
          <t>Горетцка</t>
        </is>
      </c>
      <c r="AH7" t="inlineStr">
        <is>
          <t>Джан</t>
        </is>
      </c>
      <c r="AI7" t="inlineStr">
        <is>
          <t>Лозано</t>
        </is>
      </c>
      <c r="AJ7" t="inlineStr">
        <is>
          <t>Иниго Мартинез</t>
        </is>
      </c>
      <c r="AK7" t="inlineStr">
        <is>
          <t>Кох</t>
        </is>
      </c>
      <c r="AL7" t="inlineStr">
        <is>
          <t>Хульманд</t>
        </is>
      </c>
      <c r="AM7" t="inlineStr">
        <is>
          <t>Нмеча</t>
        </is>
      </c>
      <c r="AN7" t="inlineStr">
        <is>
          <t>Гиббс-Уайт</t>
        </is>
      </c>
    </row>
    <row r="8">
      <c r="A8" t="inlineStr">
        <is>
          <t>Тиллман</t>
        </is>
      </c>
      <c r="B8" t="inlineStr">
        <is>
          <t>Шутало</t>
        </is>
      </c>
      <c r="C8" t="inlineStr">
        <is>
          <t>Жедсон</t>
        </is>
      </c>
      <c r="D8" t="inlineStr">
        <is>
          <t>Кастильехо</t>
        </is>
      </c>
      <c r="E8" t="inlineStr">
        <is>
          <t>Маффео</t>
        </is>
      </c>
      <c r="F8" t="inlineStr">
        <is>
          <t>Трубин</t>
        </is>
      </c>
      <c r="G8" t="inlineStr">
        <is>
          <t>Гарре</t>
        </is>
      </c>
      <c r="H8" t="inlineStr">
        <is>
          <t>Бегич</t>
        </is>
      </c>
      <c r="I8" t="inlineStr">
        <is>
          <t>Уокер</t>
        </is>
      </c>
      <c r="J8" t="inlineStr">
        <is>
          <t>Марсиаль</t>
        </is>
      </c>
      <c r="K8" t="inlineStr">
        <is>
          <t>Конате</t>
        </is>
      </c>
      <c r="L8" t="inlineStr">
        <is>
          <t>Габриэль Жезус</t>
        </is>
      </c>
      <c r="M8" t="inlineStr">
        <is>
          <t>Конса</t>
        </is>
      </c>
      <c r="N8" t="inlineStr">
        <is>
          <t>Фекир</t>
        </is>
      </c>
      <c r="O8" t="inlineStr">
        <is>
          <t>Викарио</t>
        </is>
      </c>
      <c r="P8" t="inlineStr">
        <is>
          <t>Уиллок</t>
        </is>
      </c>
      <c r="Q8" t="inlineStr">
        <is>
          <t>Лукаку</t>
        </is>
      </c>
      <c r="R8" t="inlineStr">
        <is>
          <t>Канселу</t>
        </is>
      </c>
      <c r="S8" t="inlineStr">
        <is>
          <t>Льоренте</t>
        </is>
      </c>
      <c r="T8" t="inlineStr">
        <is>
          <t>Нико</t>
        </is>
      </c>
      <c r="U8" t="inlineStr">
        <is>
          <t>Фернандес</t>
        </is>
      </c>
      <c r="V8" t="inlineStr">
        <is>
          <t>Ундав</t>
        </is>
      </c>
      <c r="W8" t="inlineStr">
        <is>
          <t>Промес</t>
        </is>
      </c>
      <c r="X8" t="inlineStr">
        <is>
          <t>Галан</t>
        </is>
      </c>
      <c r="Y8" t="inlineStr">
        <is>
          <t>Чалханоглу</t>
        </is>
      </c>
      <c r="Z8" t="inlineStr">
        <is>
          <t>Рейндерс</t>
        </is>
      </c>
      <c r="AA8" t="inlineStr">
        <is>
          <t>Инасиу</t>
        </is>
      </c>
      <c r="AB8" t="inlineStr">
        <is>
          <t>Сака</t>
        </is>
      </c>
      <c r="AC8" t="inlineStr">
        <is>
          <t>Гайа</t>
        </is>
      </c>
      <c r="AD8" t="inlineStr">
        <is>
          <t>Ворд-Прауз</t>
        </is>
      </c>
      <c r="AE8" t="inlineStr">
        <is>
          <t>Бейси</t>
        </is>
      </c>
      <c r="AF8" t="inlineStr">
        <is>
          <t>Карсдорп</t>
        </is>
      </c>
      <c r="AG8" t="inlineStr">
        <is>
          <t>Киммих</t>
        </is>
      </c>
      <c r="AH8" t="inlineStr">
        <is>
          <t>Касьерра</t>
        </is>
      </c>
      <c r="AI8" t="inlineStr">
        <is>
          <t>Клаус</t>
        </is>
      </c>
      <c r="AJ8" t="inlineStr">
        <is>
          <t>Кокчу</t>
        </is>
      </c>
      <c r="AK8" t="inlineStr">
        <is>
          <t>Пачо</t>
        </is>
      </c>
      <c r="AL8" t="inlineStr">
        <is>
          <t>Гертруида</t>
        </is>
      </c>
      <c r="AM8" t="inlineStr">
        <is>
          <t>Виммер</t>
        </is>
      </c>
      <c r="AN8" t="inlineStr">
        <is>
          <t>Салай</t>
        </is>
      </c>
    </row>
    <row r="9">
      <c r="A9" t="inlineStr">
        <is>
          <t>Сако</t>
        </is>
      </c>
      <c r="B9" t="inlineStr">
        <is>
          <t>Абдулхамид</t>
        </is>
      </c>
      <c r="C9" t="inlineStr">
        <is>
          <t>Макс</t>
        </is>
      </c>
      <c r="D9" t="inlineStr">
        <is>
          <t>Локо</t>
        </is>
      </c>
      <c r="E9" t="inlineStr">
        <is>
          <t>Зобнин</t>
        </is>
      </c>
      <c r="F9" t="inlineStr">
        <is>
          <t>Чавез</t>
        </is>
      </c>
      <c r="G9" t="inlineStr">
        <is>
          <t>Писарский</t>
        </is>
      </c>
      <c r="H9" t="inlineStr">
        <is>
          <t>Дмитриев</t>
        </is>
      </c>
      <c r="I9" t="inlineStr">
        <is>
          <t>Гвардиоль</t>
        </is>
      </c>
      <c r="J9" t="inlineStr">
        <is>
          <t>Ван-Биссака</t>
        </is>
      </c>
      <c r="K9" t="inlineStr">
        <is>
          <t>Коке</t>
        </is>
      </c>
      <c r="L9" t="inlineStr">
        <is>
          <t>Тимбер</t>
        </is>
      </c>
      <c r="M9" t="inlineStr">
        <is>
          <t>Морено</t>
        </is>
      </c>
      <c r="N9" t="inlineStr">
        <is>
          <t>Галлагер</t>
        </is>
      </c>
      <c r="O9" t="inlineStr">
        <is>
          <t>Порро</t>
        </is>
      </c>
      <c r="P9" t="inlineStr">
        <is>
          <t>Коне</t>
        </is>
      </c>
      <c r="Q9" t="inlineStr">
        <is>
          <t>Начо</t>
        </is>
      </c>
      <c r="R9" t="inlineStr">
        <is>
          <t>Неймар</t>
        </is>
      </c>
      <c r="S9" t="inlineStr">
        <is>
          <t>Савич</t>
        </is>
      </c>
      <c r="T9" t="inlineStr">
        <is>
          <t>Иньяки</t>
        </is>
      </c>
      <c r="U9" t="inlineStr">
        <is>
          <t>Тирни</t>
        </is>
      </c>
      <c r="V9" t="inlineStr">
        <is>
          <t>Льорис</t>
        </is>
      </c>
      <c r="W9" t="inlineStr">
        <is>
          <t>Пулишич</t>
        </is>
      </c>
      <c r="X9" t="inlineStr">
        <is>
          <t>Васкез</t>
        </is>
      </c>
      <c r="Y9" t="inlineStr">
        <is>
          <t>Бастони</t>
        </is>
      </c>
      <c r="Z9" t="inlineStr">
        <is>
          <t>Чуквуезе</t>
        </is>
      </c>
      <c r="AA9" t="inlineStr">
        <is>
          <t>Бах</t>
        </is>
      </c>
      <c r="AB9" t="inlineStr">
        <is>
          <t>Люка Эрнандез</t>
        </is>
      </c>
      <c r="AC9" t="inlineStr">
        <is>
          <t>Антониу Сильва</t>
        </is>
      </c>
      <c r="AD9" t="inlineStr">
        <is>
          <t>Сафонов</t>
        </is>
      </c>
      <c r="AE9" t="inlineStr">
        <is>
          <t>Касале</t>
        </is>
      </c>
      <c r="AF9" t="inlineStr">
        <is>
          <t>Пакета</t>
        </is>
      </c>
      <c r="AG9" t="inlineStr">
        <is>
          <t>Фримпонг</t>
        </is>
      </c>
      <c r="AH9" t="inlineStr">
        <is>
          <t>Адейеми</t>
        </is>
      </c>
      <c r="AI9" t="inlineStr">
        <is>
          <t>Руис</t>
        </is>
      </c>
      <c r="AJ9" t="inlineStr">
        <is>
          <t>Симакан</t>
        </is>
      </c>
      <c r="AK9" t="inlineStr">
        <is>
          <t>Тута</t>
        </is>
      </c>
      <c r="AL9" t="inlineStr">
        <is>
          <t>Вайгль</t>
        </is>
      </c>
      <c r="AM9" t="inlineStr">
        <is>
          <t>Маэле</t>
        </is>
      </c>
      <c r="AN9" t="inlineStr">
        <is>
          <t>Сугавару</t>
        </is>
      </c>
    </row>
    <row r="10">
      <c r="A10" t="inlineStr">
        <is>
          <t>Зджелар</t>
        </is>
      </c>
      <c r="B10" t="inlineStr">
        <is>
          <t>Вильмар Барриос</t>
        </is>
      </c>
      <c r="C10" t="inlineStr">
        <is>
          <t>Мата</t>
        </is>
      </c>
      <c r="D10" t="inlineStr">
        <is>
          <t>Теате</t>
        </is>
      </c>
      <c r="E10" t="inlineStr">
        <is>
          <t>Игнатов</t>
        </is>
      </c>
      <c r="F10" t="inlineStr">
        <is>
          <t>О'райли</t>
        </is>
      </c>
      <c r="G10" t="inlineStr">
        <is>
          <t>Ломаев</t>
        </is>
      </c>
      <c r="H10" t="inlineStr">
        <is>
          <t>Мишкич</t>
        </is>
      </c>
      <c r="I10" t="inlineStr">
        <is>
          <t>Стоунз</t>
        </is>
      </c>
      <c r="J10" t="inlineStr">
        <is>
          <t>Хименес</t>
        </is>
      </c>
      <c r="K10" t="inlineStr">
        <is>
          <t>Собослай</t>
        </is>
      </c>
      <c r="L10" t="inlineStr">
        <is>
          <t>Рамсдейл</t>
        </is>
      </c>
      <c r="M10" t="inlineStr">
        <is>
          <t>Тодибо</t>
        </is>
      </c>
      <c r="N10" t="inlineStr">
        <is>
          <t>Маатсен</t>
        </is>
      </c>
      <c r="O10" t="inlineStr">
        <is>
          <t>Хулиан Альварез</t>
        </is>
      </c>
      <c r="P10" t="inlineStr">
        <is>
          <t>Перейра</t>
        </is>
      </c>
      <c r="Q10" t="inlineStr">
        <is>
          <t>Куртуа</t>
        </is>
      </c>
      <c r="R10" t="inlineStr">
        <is>
          <t>Де Йонг</t>
        </is>
      </c>
      <c r="S10" t="inlineStr">
        <is>
          <t>Обамеянг</t>
        </is>
      </c>
      <c r="T10" t="inlineStr">
        <is>
          <t>Траоре</t>
        </is>
      </c>
      <c r="U10" t="inlineStr">
        <is>
          <t>Элустондо</t>
        </is>
      </c>
      <c r="V10" t="inlineStr">
        <is>
          <t>Закария</t>
        </is>
      </c>
      <c r="W10" t="inlineStr">
        <is>
          <t>Эррера</t>
        </is>
      </c>
      <c r="X10" t="inlineStr">
        <is>
          <t>Ханко</t>
        </is>
      </c>
      <c r="Y10" t="inlineStr">
        <is>
          <t>Димарко</t>
        </is>
      </c>
      <c r="Z10" t="inlineStr">
        <is>
          <t>Эрнандез</t>
        </is>
      </c>
      <c r="AA10" t="inlineStr">
        <is>
          <t>Заир-Эмери</t>
        </is>
      </c>
      <c r="AB10" t="inlineStr">
        <is>
          <t>Ди Лоренцо</t>
        </is>
      </c>
      <c r="AC10" t="inlineStr">
        <is>
          <t>Илич</t>
        </is>
      </c>
      <c r="AD10" t="inlineStr">
        <is>
          <t>Нуньез</t>
        </is>
      </c>
      <c r="AE10" t="inlineStr">
        <is>
          <t>Машадо</t>
        </is>
      </c>
      <c r="AF10" t="inlineStr">
        <is>
          <t>Спиназолла</t>
        </is>
      </c>
      <c r="AG10" t="inlineStr">
        <is>
          <t>Коман</t>
        </is>
      </c>
      <c r="AH10" t="inlineStr">
        <is>
          <t>Мендеш</t>
        </is>
      </c>
      <c r="AI10" t="inlineStr">
        <is>
          <t>Синго</t>
        </is>
      </c>
      <c r="AJ10" t="inlineStr">
        <is>
          <t>Клостерманн</t>
        </is>
      </c>
      <c r="AK10" t="inlineStr">
        <is>
          <t>Дина Эбимбе</t>
        </is>
      </c>
      <c r="AL10" t="inlineStr">
        <is>
          <t>Коронадо</t>
        </is>
      </c>
      <c r="AM10" t="inlineStr">
        <is>
          <t>Сванберг</t>
        </is>
      </c>
      <c r="AN10" t="inlineStr">
        <is>
          <t>Доку</t>
        </is>
      </c>
    </row>
    <row r="11">
      <c r="A11" t="inlineStr">
        <is>
          <t>Мендес</t>
        </is>
      </c>
      <c r="B11" t="inlineStr">
        <is>
          <t>Труфферт</t>
        </is>
      </c>
      <c r="C11" t="inlineStr">
        <is>
          <t>Жуниор</t>
        </is>
      </c>
      <c r="D11" t="inlineStr">
        <is>
          <t>Баринов</t>
        </is>
      </c>
      <c r="E11" t="inlineStr">
        <is>
          <t>Бабич</t>
        </is>
      </c>
      <c r="F11" t="inlineStr">
        <is>
          <t>Ругани</t>
        </is>
      </c>
      <c r="G11" t="inlineStr">
        <is>
          <t>Костанца</t>
        </is>
      </c>
      <c r="H11" t="inlineStr">
        <is>
          <t>Кики</t>
        </is>
      </c>
      <c r="I11" t="inlineStr">
        <is>
          <t>Палинья</t>
        </is>
      </c>
      <c r="J11" t="inlineStr">
        <is>
          <t>Маласия</t>
        </is>
      </c>
      <c r="K11" t="inlineStr">
        <is>
          <t>Гравенберх</t>
        </is>
      </c>
      <c r="L11" t="inlineStr">
        <is>
          <t>Акунья</t>
        </is>
      </c>
      <c r="M11" t="inlineStr">
        <is>
          <t>Ровелла</t>
        </is>
      </c>
      <c r="N11" t="inlineStr">
        <is>
          <t>Гюсто</t>
        </is>
      </c>
      <c r="O11" t="inlineStr">
        <is>
          <t>Куадрадо</t>
        </is>
      </c>
      <c r="P11" t="inlineStr">
        <is>
          <t>Эспино</t>
        </is>
      </c>
      <c r="Q11" t="inlineStr">
        <is>
          <t>Эриксен</t>
        </is>
      </c>
      <c r="R11" t="inlineStr">
        <is>
          <t>Бальде</t>
        </is>
      </c>
      <c r="S11" t="inlineStr">
        <is>
          <t>Джикия</t>
        </is>
      </c>
      <c r="T11" t="inlineStr">
        <is>
          <t>Йерай</t>
        </is>
      </c>
      <c r="U11" t="inlineStr">
        <is>
          <t>Лориент</t>
        </is>
      </c>
      <c r="V11" t="inlineStr">
        <is>
          <t>Каку</t>
        </is>
      </c>
      <c r="W11" t="inlineStr">
        <is>
          <t>Ангуло</t>
        </is>
      </c>
      <c r="X11" t="inlineStr">
        <is>
          <t>Эль Шарави</t>
        </is>
      </c>
      <c r="Y11" t="inlineStr">
        <is>
          <t>Мхитарян</t>
        </is>
      </c>
      <c r="Z11" t="inlineStr">
        <is>
          <t>Томори</t>
        </is>
      </c>
      <c r="AA11" t="inlineStr">
        <is>
          <t>Рейс</t>
        </is>
      </c>
      <c r="AB11" t="inlineStr">
        <is>
          <t>Невеш</t>
        </is>
      </c>
      <c r="AC11" t="inlineStr">
        <is>
          <t>Хатебур</t>
        </is>
      </c>
      <c r="AD11" t="inlineStr">
        <is>
          <t>Эллиотт</t>
        </is>
      </c>
      <c r="AE11" t="inlineStr">
        <is>
          <t>Шунин</t>
        </is>
      </c>
      <c r="AF11" t="inlineStr">
        <is>
          <t>Ндика</t>
        </is>
      </c>
      <c r="AG11" t="inlineStr">
        <is>
          <t>Рёль</t>
        </is>
      </c>
      <c r="AH11" t="inlineStr">
        <is>
          <t>Хуммельс</t>
        </is>
      </c>
      <c r="AI11" t="inlineStr">
        <is>
          <t>Гюлер</t>
        </is>
      </c>
      <c r="AJ11" t="inlineStr">
        <is>
          <t>Сейвальд</t>
        </is>
      </c>
      <c r="AK11" t="inlineStr">
        <is>
          <t>Корона</t>
        </is>
      </c>
      <c r="AL11" t="inlineStr">
        <is>
          <t>Нетц</t>
        </is>
      </c>
      <c r="AM11" t="inlineStr">
        <is>
          <t>Фишер</t>
        </is>
      </c>
      <c r="AN11" t="inlineStr">
        <is>
          <t>Керкес</t>
        </is>
      </c>
    </row>
    <row r="12">
      <c r="A12" t="inlineStr">
        <is>
          <t>Дивеев</t>
        </is>
      </c>
      <c r="B12" t="inlineStr">
        <is>
          <t>Нгамалу</t>
        </is>
      </c>
      <c r="C12" t="inlineStr">
        <is>
          <t>Кокшаров</t>
        </is>
      </c>
      <c r="D12" t="inlineStr">
        <is>
          <t>Диатта</t>
        </is>
      </c>
      <c r="E12" t="inlineStr">
        <is>
          <t>Селихов</t>
        </is>
      </c>
      <c r="F12" t="inlineStr">
        <is>
          <t>Силас</t>
        </is>
      </c>
      <c r="G12" t="inlineStr">
        <is>
          <t>Салтыков</t>
        </is>
      </c>
      <c r="H12" t="inlineStr">
        <is>
          <t>Эмерсон</t>
        </is>
      </c>
      <c r="I12" t="inlineStr">
        <is>
          <t>Эдерсон</t>
        </is>
      </c>
      <c r="J12" t="inlineStr">
        <is>
          <t>Нуньес</t>
        </is>
      </c>
      <c r="K12" t="inlineStr">
        <is>
          <t>Олисе</t>
        </is>
      </c>
      <c r="L12" t="inlineStr">
        <is>
          <t>Диаш</t>
        </is>
      </c>
      <c r="M12" t="inlineStr">
        <is>
          <t>Рэмзи</t>
        </is>
      </c>
      <c r="N12" t="inlineStr">
        <is>
          <t>Мадуэке</t>
        </is>
      </c>
      <c r="O12" t="inlineStr">
        <is>
          <t>Сантос</t>
        </is>
      </c>
      <c r="P12" t="inlineStr">
        <is>
          <t>Хараслин</t>
        </is>
      </c>
      <c r="Q12" t="inlineStr">
        <is>
          <t>Лампти</t>
        </is>
      </c>
      <c r="R12" t="inlineStr">
        <is>
          <t>Гави</t>
        </is>
      </c>
      <c r="S12" t="inlineStr">
        <is>
          <t>Алмада</t>
        </is>
      </c>
      <c r="T12" t="inlineStr">
        <is>
          <t>Лоди</t>
        </is>
      </c>
      <c r="U12" t="inlineStr">
        <is>
          <t>Тюкавин</t>
        </is>
      </c>
      <c r="V12" t="inlineStr">
        <is>
          <t>Педроса</t>
        </is>
      </c>
      <c r="W12" t="inlineStr">
        <is>
          <t>Брабек</t>
        </is>
      </c>
      <c r="X12" t="inlineStr">
        <is>
          <t>Науфф</t>
        </is>
      </c>
      <c r="Y12" t="inlineStr">
        <is>
          <t>Кулибали</t>
        </is>
      </c>
      <c r="Z12" t="inlineStr">
        <is>
          <t>Тапсоба</t>
        </is>
      </c>
      <c r="AA12" t="inlineStr">
        <is>
          <t>Фаджиоли</t>
        </is>
      </c>
      <c r="AB12" t="inlineStr">
        <is>
          <t>Элмас</t>
        </is>
      </c>
      <c r="AC12" t="inlineStr">
        <is>
          <t>Торрес</t>
        </is>
      </c>
      <c r="AD12" t="inlineStr">
        <is>
          <t>Додо</t>
        </is>
      </c>
      <c r="AE12" t="inlineStr">
        <is>
          <t>Андерсон</t>
        </is>
      </c>
      <c r="AF12" t="inlineStr">
        <is>
          <t>Пайшао</t>
        </is>
      </c>
      <c r="AG12" t="inlineStr">
        <is>
          <t>Сане</t>
        </is>
      </c>
      <c r="AH12" t="inlineStr">
        <is>
          <t>Марушич</t>
        </is>
      </c>
      <c r="AI12" t="inlineStr">
        <is>
          <t>Хинкапи</t>
        </is>
      </c>
      <c r="AJ12" t="inlineStr">
        <is>
          <t>Раум</t>
        </is>
      </c>
      <c r="AK12" t="inlineStr">
        <is>
          <t>Нкунку</t>
        </is>
      </c>
      <c r="AL12" t="inlineStr">
        <is>
          <t>Телло</t>
        </is>
      </c>
      <c r="AM12" t="inlineStr">
        <is>
          <t>Борнау</t>
        </is>
      </c>
      <c r="AN12" t="inlineStr">
        <is>
          <t>Стах</t>
        </is>
      </c>
    </row>
    <row r="13">
      <c r="A13" t="inlineStr">
        <is>
          <t>Чилвелл</t>
        </is>
      </c>
      <c r="B13" t="inlineStr">
        <is>
          <t>Бовен</t>
        </is>
      </c>
      <c r="C13" t="inlineStr">
        <is>
          <t>Ляказет</t>
        </is>
      </c>
      <c r="D13" t="inlineStr">
        <is>
          <t>Фабиански</t>
        </is>
      </c>
      <c r="E13" t="inlineStr">
        <is>
          <t>Митома</t>
        </is>
      </c>
      <c r="F13" t="inlineStr">
        <is>
          <t>Сангаре</t>
        </is>
      </c>
      <c r="G13" t="inlineStr">
        <is>
          <t>Тарковски</t>
        </is>
      </c>
      <c r="H13" t="inlineStr">
        <is>
          <t>Саванье</t>
        </is>
      </c>
      <c r="I13" t="inlineStr">
        <is>
          <t>Ковачич</t>
        </is>
      </c>
      <c r="J13" t="inlineStr">
        <is>
          <t>Лисандро Мартинез</t>
        </is>
      </c>
      <c r="K13" t="inlineStr">
        <is>
          <t>Модрич</t>
        </is>
      </c>
      <c r="L13" t="inlineStr">
        <is>
          <t>Канте</t>
        </is>
      </c>
      <c r="M13" t="inlineStr">
        <is>
          <t>Виртц</t>
        </is>
      </c>
      <c r="N13" t="inlineStr">
        <is>
          <t>Мамардашвили</t>
        </is>
      </c>
      <c r="O13" t="inlineStr">
        <is>
          <t>Диа</t>
        </is>
      </c>
      <c r="P13" t="inlineStr">
        <is>
          <t>Тюрам</t>
        </is>
      </c>
      <c r="Q13" t="inlineStr">
        <is>
          <t>Вальверде</t>
        </is>
      </c>
      <c r="R13" t="inlineStr">
        <is>
          <t>Гюндоган</t>
        </is>
      </c>
      <c r="S13" t="inlineStr">
        <is>
          <t>Депай</t>
        </is>
      </c>
      <c r="T13" t="inlineStr">
        <is>
          <t>Пикфорд</t>
        </is>
      </c>
      <c r="U13" t="inlineStr">
        <is>
          <t>Лено</t>
        </is>
      </c>
      <c r="V13" t="inlineStr">
        <is>
          <t>Окампос</t>
        </is>
      </c>
      <c r="W13" t="inlineStr">
        <is>
          <t>Медина</t>
        </is>
      </c>
      <c r="X13" t="inlineStr">
        <is>
          <t>Пепе</t>
        </is>
      </c>
      <c r="Y13" t="inlineStr">
        <is>
          <t>Грилиш</t>
        </is>
      </c>
      <c r="Z13" t="inlineStr">
        <is>
          <t>Беллингем</t>
        </is>
      </c>
      <c r="AA13" t="inlineStr">
        <is>
          <t>Адан</t>
        </is>
      </c>
      <c r="AB13" t="inlineStr">
        <is>
          <t>Бускетс</t>
        </is>
      </c>
      <c r="AC13" t="inlineStr">
        <is>
          <t>Буригард</t>
        </is>
      </c>
      <c r="AD13" t="inlineStr">
        <is>
          <t>Макс Лопес</t>
        </is>
      </c>
      <c r="AE13" t="inlineStr">
        <is>
          <t>Гендузи</t>
        </is>
      </c>
      <c r="AF13" t="inlineStr">
        <is>
          <t>Бергвис</t>
        </is>
      </c>
      <c r="AG13" t="inlineStr">
        <is>
          <t>Банза</t>
        </is>
      </c>
      <c r="AH13" t="inlineStr">
        <is>
          <t>Роналду</t>
        </is>
      </c>
      <c r="AI13" t="inlineStr">
        <is>
          <t>Шик</t>
        </is>
      </c>
      <c r="AJ13" t="inlineStr">
        <is>
          <t>Бен-Йеддер</t>
        </is>
      </c>
      <c r="AK13" t="inlineStr">
        <is>
          <t>Навас</t>
        </is>
      </c>
      <c r="AL13" t="inlineStr">
        <is>
          <t>Миньоле</t>
        </is>
      </c>
      <c r="AM13" t="inlineStr">
        <is>
          <t>Шмейхель</t>
        </is>
      </c>
      <c r="AN13" t="inlineStr">
        <is>
          <t>Бебу</t>
        </is>
      </c>
    </row>
    <row r="14">
      <c r="A14" t="inlineStr">
        <is>
          <t>Манданда</t>
        </is>
      </c>
      <c r="B14" t="inlineStr">
        <is>
          <t>Сельс</t>
        </is>
      </c>
      <c r="C14" t="inlineStr">
        <is>
          <t>Теума</t>
        </is>
      </c>
      <c r="D14" t="inlineStr">
        <is>
          <t>Чалов</t>
        </is>
      </c>
      <c r="E14" t="inlineStr">
        <is>
          <t>Бето</t>
        </is>
      </c>
      <c r="F14" t="inlineStr">
        <is>
          <t>Антонио</t>
        </is>
      </c>
      <c r="G14" t="inlineStr">
        <is>
          <t>Гуаита</t>
        </is>
      </c>
      <c r="H14" t="inlineStr">
        <is>
          <t>Ареола</t>
        </is>
      </c>
      <c r="I14" t="inlineStr">
        <is>
          <t>Фоден</t>
        </is>
      </c>
      <c r="J14" t="inlineStr">
        <is>
          <t>Варан</t>
        </is>
      </c>
      <c r="K14" t="inlineStr">
        <is>
          <t>Диас</t>
        </is>
      </c>
      <c r="L14" t="inlineStr">
        <is>
          <t>Кондогбия</t>
        </is>
      </c>
      <c r="M14" t="inlineStr">
        <is>
          <t>Дуглас Луис</t>
        </is>
      </c>
      <c r="N14" t="inlineStr">
        <is>
          <t>Угарте</t>
        </is>
      </c>
      <c r="O14" t="inlineStr">
        <is>
          <t>Кудус</t>
        </is>
      </c>
      <c r="P14" t="inlineStr">
        <is>
          <t>Поуп</t>
        </is>
      </c>
      <c r="Q14" t="inlineStr">
        <is>
          <t>Маркиньос</t>
        </is>
      </c>
      <c r="R14" t="inlineStr">
        <is>
          <t>Палазон</t>
        </is>
      </c>
      <c r="S14" t="inlineStr">
        <is>
          <t>Корреа</t>
        </is>
      </c>
      <c r="T14" t="inlineStr">
        <is>
          <t>Торрейра</t>
        </is>
      </c>
      <c r="U14" t="inlineStr">
        <is>
          <t>Зубименди</t>
        </is>
      </c>
      <c r="V14" t="inlineStr">
        <is>
          <t>Дмитрович</t>
        </is>
      </c>
      <c r="W14" t="inlineStr">
        <is>
          <t>Блинд</t>
        </is>
      </c>
      <c r="X14" t="inlineStr">
        <is>
          <t>Терье</t>
        </is>
      </c>
      <c r="Y14" t="inlineStr">
        <is>
          <t>Мане</t>
        </is>
      </c>
      <c r="Z14" t="inlineStr">
        <is>
          <t>Маньян</t>
        </is>
      </c>
      <c r="AA14" t="inlineStr">
        <is>
          <t>Миретти</t>
        </is>
      </c>
      <c r="AB14" t="inlineStr">
        <is>
          <t>Зелински</t>
        </is>
      </c>
      <c r="AC14" t="inlineStr">
        <is>
          <t>Лукман</t>
        </is>
      </c>
      <c r="AD14" t="inlineStr">
        <is>
          <t>Политано</t>
        </is>
      </c>
      <c r="AE14" t="inlineStr">
        <is>
          <t>Монтиэль</t>
        </is>
      </c>
      <c r="AF14" t="inlineStr">
        <is>
          <t>Ван Дейк</t>
        </is>
      </c>
      <c r="AG14" t="inlineStr">
        <is>
          <t>Мариу</t>
        </is>
      </c>
      <c r="AH14" t="inlineStr">
        <is>
          <t>Зюле</t>
        </is>
      </c>
      <c r="AI14" t="inlineStr">
        <is>
          <t>Та</t>
        </is>
      </c>
      <c r="AJ14" t="inlineStr">
        <is>
          <t>Гулашчи</t>
        </is>
      </c>
      <c r="AK14" t="inlineStr">
        <is>
          <t>Бубакар Камара</t>
        </is>
      </c>
      <c r="AL14" t="inlineStr">
        <is>
          <t>Нойхаус</t>
        </is>
      </c>
      <c r="AM14" t="inlineStr">
        <is>
          <t>Ромариньо</t>
        </is>
      </c>
      <c r="AN14" t="inlineStr">
        <is>
          <t>Дани Муньоз</t>
        </is>
      </c>
    </row>
    <row r="15">
      <c r="A15" t="inlineStr">
        <is>
          <t>Заболотный</t>
        </is>
      </c>
      <c r="B15" t="inlineStr">
        <is>
          <t>Павар</t>
        </is>
      </c>
      <c r="C15" t="inlineStr">
        <is>
          <t>Салах</t>
        </is>
      </c>
      <c r="D15" t="inlineStr">
        <is>
          <t>Одриозола</t>
        </is>
      </c>
      <c r="E15" t="inlineStr">
        <is>
          <t>Ми</t>
        </is>
      </c>
      <c r="F15" t="inlineStr">
        <is>
          <t>Ле Фе</t>
        </is>
      </c>
      <c r="G15" t="inlineStr">
        <is>
          <t>Дауд</t>
        </is>
      </c>
      <c r="H15" t="inlineStr">
        <is>
          <t>Гиго</t>
        </is>
      </c>
      <c r="I15" t="inlineStr">
        <is>
          <t>Аканжи</t>
        </is>
      </c>
      <c r="J15" t="inlineStr">
        <is>
          <t>Шоу</t>
        </is>
      </c>
      <c r="K15" t="inlineStr">
        <is>
          <t>Кошта</t>
        </is>
      </c>
      <c r="L15" t="inlineStr">
        <is>
          <t>Альмирон</t>
        </is>
      </c>
      <c r="M15" t="inlineStr">
        <is>
          <t>Эндо</t>
        </is>
      </c>
      <c r="N15" t="inlineStr">
        <is>
          <t>Кайседо</t>
        </is>
      </c>
      <c r="O15" t="inlineStr">
        <is>
          <t>Лопеш</t>
        </is>
      </c>
      <c r="P15" t="inlineStr">
        <is>
          <t>Аит-Нури</t>
        </is>
      </c>
      <c r="Q15" t="inlineStr">
        <is>
          <t>Тчуамени</t>
        </is>
      </c>
      <c r="R15" t="inlineStr">
        <is>
          <t>Кристенсен</t>
        </is>
      </c>
      <c r="S15" t="inlineStr">
        <is>
          <t>Хоселу</t>
        </is>
      </c>
      <c r="T15" t="inlineStr">
        <is>
          <t>Андер Эррера</t>
        </is>
      </c>
      <c r="U15" t="inlineStr">
        <is>
          <t>Ле Норманд</t>
        </is>
      </c>
      <c r="V15" t="inlineStr">
        <is>
          <t>Виска</t>
        </is>
      </c>
      <c r="W15" t="inlineStr">
        <is>
          <t>Марчесин</t>
        </is>
      </c>
      <c r="X15" t="inlineStr">
        <is>
          <t>Ндиди</t>
        </is>
      </c>
      <c r="Y15" t="inlineStr">
        <is>
          <t>Жоржиньо</t>
        </is>
      </c>
      <c r="Z15" t="inlineStr">
        <is>
          <t>Барнс</t>
        </is>
      </c>
      <c r="AA15" t="inlineStr">
        <is>
          <t>Сандро</t>
        </is>
      </c>
      <c r="AB15" t="inlineStr">
        <is>
          <t>Цыганков</t>
        </is>
      </c>
      <c r="AC15" t="inlineStr">
        <is>
          <t>Де Рун</t>
        </is>
      </c>
      <c r="AD15" t="inlineStr">
        <is>
          <t>Ибаньес</t>
        </is>
      </c>
      <c r="AE15" t="inlineStr">
        <is>
          <t>Райкович</t>
        </is>
      </c>
      <c r="AF15" t="inlineStr">
        <is>
          <t>Гризманн</t>
        </is>
      </c>
      <c r="AG15" t="inlineStr">
        <is>
          <t>Геррейро</t>
        </is>
      </c>
      <c r="AH15" t="inlineStr">
        <is>
          <t>Шимански</t>
        </is>
      </c>
      <c r="AI15" t="inlineStr">
        <is>
          <t>Оспина</t>
        </is>
      </c>
      <c r="AJ15" t="inlineStr">
        <is>
          <t>Фабиньо</t>
        </is>
      </c>
      <c r="AK15" t="inlineStr">
        <is>
          <t>Агуэрд</t>
        </is>
      </c>
      <c r="AL15" t="inlineStr">
        <is>
          <t>Крамер</t>
        </is>
      </c>
      <c r="AM15" t="inlineStr">
        <is>
          <t>Руи</t>
        </is>
      </c>
      <c r="AN15" t="inlineStr">
        <is>
          <t>Бултер</t>
        </is>
      </c>
    </row>
    <row r="16">
      <c r="A16" t="inlineStr">
        <is>
          <t>Кучаев</t>
        </is>
      </c>
      <c r="B16" t="inlineStr">
        <is>
          <t>Эмболо</t>
        </is>
      </c>
      <c r="C16" t="inlineStr">
        <is>
          <t>Алонсо</t>
        </is>
      </c>
      <c r="D16" t="inlineStr">
        <is>
          <t>Мартинш</t>
        </is>
      </c>
      <c r="E16" t="inlineStr">
        <is>
          <t>Максименко</t>
        </is>
      </c>
      <c r="F16" t="inlineStr">
        <is>
          <t>Тёрнер</t>
        </is>
      </c>
      <c r="G16" t="inlineStr">
        <is>
          <t>Калимуендо</t>
        </is>
      </c>
      <c r="H16" t="inlineStr">
        <is>
          <t>Ранделович</t>
        </is>
      </c>
      <c r="I16" t="inlineStr">
        <is>
          <t>Аке</t>
        </is>
      </c>
      <c r="J16" t="inlineStr">
        <is>
          <t>Отавиу</t>
        </is>
      </c>
      <c r="K16" t="inlineStr">
        <is>
          <t>Рабьо</t>
        </is>
      </c>
      <c r="L16" t="inlineStr">
        <is>
          <t>Плеа</t>
        </is>
      </c>
      <c r="M16" t="inlineStr">
        <is>
          <t>Бэйли</t>
        </is>
      </c>
      <c r="N16" t="inlineStr">
        <is>
          <t>Бадиашиле</t>
        </is>
      </c>
      <c r="O16" t="inlineStr">
        <is>
          <t>Перишич</t>
        </is>
      </c>
      <c r="P16" t="inlineStr">
        <is>
          <t>Мавропанос</t>
        </is>
      </c>
      <c r="Q16" t="inlineStr">
        <is>
          <t>Дембеле</t>
        </is>
      </c>
      <c r="R16" t="inlineStr">
        <is>
          <t>Кунде</t>
        </is>
      </c>
      <c r="S16" t="inlineStr">
        <is>
          <t>Эрмосо</t>
        </is>
      </c>
      <c r="T16" t="inlineStr">
        <is>
          <t>Демираль</t>
        </is>
      </c>
      <c r="U16" t="inlineStr">
        <is>
          <t>Ройс</t>
        </is>
      </c>
      <c r="V16" t="inlineStr">
        <is>
          <t>Жоелинтон</t>
        </is>
      </c>
      <c r="W16" t="inlineStr">
        <is>
          <t>Савио</t>
        </is>
      </c>
      <c r="X16" t="inlineStr">
        <is>
          <t>Алмейда</t>
        </is>
      </c>
      <c r="Y16" t="inlineStr">
        <is>
          <t>Вирман</t>
        </is>
      </c>
      <c r="Z16" t="inlineStr">
        <is>
          <t>Лапорт</t>
        </is>
      </c>
      <c r="AA16" t="inlineStr">
        <is>
          <t>Хенрихс</t>
        </is>
      </c>
      <c r="AB16" t="inlineStr">
        <is>
          <t>Карлос</t>
        </is>
      </c>
      <c r="AC16" t="inlineStr">
        <is>
          <t>Заппакоста</t>
        </is>
      </c>
      <c r="AD16" t="inlineStr">
        <is>
          <t>Уналь</t>
        </is>
      </c>
      <c r="AE16" t="inlineStr">
        <is>
          <t>Станчиу</t>
        </is>
      </c>
      <c r="AF16" t="inlineStr">
        <is>
          <t>Бергвин</t>
        </is>
      </c>
      <c r="AG16" t="inlineStr">
        <is>
          <t>Джака</t>
        </is>
      </c>
      <c r="AH16" t="inlineStr">
        <is>
          <t>Дзаканьи</t>
        </is>
      </c>
      <c r="AI16" t="inlineStr">
        <is>
          <t>Паласиос</t>
        </is>
      </c>
      <c r="AJ16" t="inlineStr">
        <is>
          <t>Инсинье</t>
        </is>
      </c>
      <c r="AK16" t="inlineStr">
        <is>
          <t>Робертон</t>
        </is>
      </c>
      <c r="AL16" t="inlineStr">
        <is>
          <t>Хонорат</t>
        </is>
      </c>
      <c r="AM16" t="inlineStr">
        <is>
          <t>Саму Гарсия</t>
        </is>
      </c>
      <c r="AN16" t="inlineStr">
        <is>
          <t>Нюбель</t>
        </is>
      </c>
    </row>
    <row r="17">
      <c r="A17" t="inlineStr">
        <is>
          <t>Роша</t>
        </is>
      </c>
      <c r="B17" t="inlineStr">
        <is>
          <t>Караваев</t>
        </is>
      </c>
      <c r="C17" t="inlineStr">
        <is>
          <t>Боржес</t>
        </is>
      </c>
      <c r="D17" t="inlineStr">
        <is>
          <t>Данило</t>
        </is>
      </c>
      <c r="E17" t="inlineStr">
        <is>
          <t>Мартинс</t>
        </is>
      </c>
      <c r="F17" t="inlineStr">
        <is>
          <t>Патрик</t>
        </is>
      </c>
      <c r="G17" t="inlineStr">
        <is>
          <t>Горшков</t>
        </is>
      </c>
      <c r="H17" t="inlineStr">
        <is>
          <t>Биль</t>
        </is>
      </c>
      <c r="I17" t="inlineStr">
        <is>
          <t>Самба</t>
        </is>
      </c>
      <c r="J17" t="inlineStr">
        <is>
          <t>Очоа</t>
        </is>
      </c>
      <c r="K17" t="inlineStr">
        <is>
          <t>Джуст</t>
        </is>
      </c>
      <c r="L17" t="inlineStr">
        <is>
          <t>Райа</t>
        </is>
      </c>
      <c r="M17" t="inlineStr">
        <is>
          <t>Кэш</t>
        </is>
      </c>
      <c r="N17" t="inlineStr">
        <is>
          <t>Гринвуд</t>
        </is>
      </c>
      <c r="O17" t="inlineStr">
        <is>
          <t>Флорентину</t>
        </is>
      </c>
      <c r="P17" t="inlineStr">
        <is>
          <t>Кунья</t>
        </is>
      </c>
      <c r="Q17" t="inlineStr">
        <is>
          <t>Карвахаль</t>
        </is>
      </c>
      <c r="R17" t="inlineStr">
        <is>
          <t>Флеккен</t>
        </is>
      </c>
      <c r="S17" t="inlineStr">
        <is>
          <t>Муслера</t>
        </is>
      </c>
      <c r="T17" t="inlineStr">
        <is>
          <t>Хартман</t>
        </is>
      </c>
      <c r="U17" t="inlineStr">
        <is>
          <t>Семедо</t>
        </is>
      </c>
      <c r="V17" t="inlineStr">
        <is>
          <t>Пиннок</t>
        </is>
      </c>
      <c r="W17" t="inlineStr">
        <is>
          <t>Сотока</t>
        </is>
      </c>
      <c r="X17" t="inlineStr">
        <is>
          <t>Максимино</t>
        </is>
      </c>
      <c r="Y17" t="inlineStr">
        <is>
          <t>Де Врей</t>
        </is>
      </c>
      <c r="Z17" t="inlineStr">
        <is>
          <t>Калабрия</t>
        </is>
      </c>
      <c r="AA17" t="inlineStr">
        <is>
          <t>Моффи</t>
        </is>
      </c>
      <c r="AB17" t="inlineStr">
        <is>
          <t>Фати</t>
        </is>
      </c>
      <c r="AC17" t="inlineStr">
        <is>
          <t>Мбемба</t>
        </is>
      </c>
      <c r="AD17" t="inlineStr">
        <is>
          <t>Зума</t>
        </is>
      </c>
      <c r="AE17" t="inlineStr">
        <is>
          <t>Байер</t>
        </is>
      </c>
      <c r="AF17" t="inlineStr">
        <is>
          <t>Бейлоу</t>
        </is>
      </c>
      <c r="AG17" t="inlineStr">
        <is>
          <t>Мазрауи</t>
        </is>
      </c>
      <c r="AH17" t="inlineStr">
        <is>
          <t>Забитцер</t>
        </is>
      </c>
      <c r="AI17" t="inlineStr">
        <is>
          <t>Амири</t>
        </is>
      </c>
      <c r="AJ17" t="inlineStr">
        <is>
          <t>Баумгартнер</t>
        </is>
      </c>
      <c r="AK17" t="inlineStr">
        <is>
          <t>Шурс</t>
        </is>
      </c>
      <c r="AL17" t="inlineStr">
        <is>
          <t>Эльведи</t>
        </is>
      </c>
      <c r="AM17" t="inlineStr">
        <is>
          <t>Вега</t>
        </is>
      </c>
      <c r="AN17" t="inlineStr">
        <is>
          <t>Акпогума</t>
        </is>
      </c>
    </row>
    <row r="18">
      <c r="A18" t="inlineStr">
        <is>
          <t>Адингра</t>
        </is>
      </c>
      <c r="B18" t="inlineStr">
        <is>
          <t>Ду Кейрош</t>
        </is>
      </c>
      <c r="C18" t="inlineStr">
        <is>
          <t>Волков</t>
        </is>
      </c>
      <c r="D18" t="inlineStr">
        <is>
          <t>Пиняев</t>
        </is>
      </c>
      <c r="E18" t="inlineStr">
        <is>
          <t>Пруцев</t>
        </is>
      </c>
      <c r="F18" t="inlineStr">
        <is>
          <t>Гиттенс</t>
        </is>
      </c>
      <c r="G18" t="inlineStr">
        <is>
          <t>Бабкин</t>
        </is>
      </c>
      <c r="H18" t="inlineStr">
        <is>
          <t>Кокорин</t>
        </is>
      </c>
      <c r="I18" t="inlineStr">
        <is>
          <t>Барколя</t>
        </is>
      </c>
      <c r="J18" t="inlineStr">
        <is>
          <t>Антони</t>
        </is>
      </c>
      <c r="K18" t="inlineStr">
        <is>
          <t>Цимикас</t>
        </is>
      </c>
      <c r="L18" t="inlineStr">
        <is>
          <t>Томиясу</t>
        </is>
      </c>
      <c r="M18" t="inlineStr">
        <is>
          <t>Макгинн</t>
        </is>
      </c>
      <c r="N18" t="inlineStr">
        <is>
          <t>Джексон</t>
        </is>
      </c>
      <c r="O18" t="inlineStr">
        <is>
          <t>Эзе</t>
        </is>
      </c>
      <c r="P18" t="inlineStr">
        <is>
          <t>Прёмель</t>
        </is>
      </c>
      <c r="Q18" t="inlineStr">
        <is>
          <t>Кепа</t>
        </is>
      </c>
      <c r="R18" t="inlineStr">
        <is>
          <t>Аль-Мусрати</t>
        </is>
      </c>
      <c r="S18" t="inlineStr">
        <is>
          <t>Тюрам</t>
        </is>
      </c>
      <c r="T18" t="inlineStr">
        <is>
          <t>Джонсон</t>
        </is>
      </c>
      <c r="U18" t="inlineStr">
        <is>
          <t>Авонийи</t>
        </is>
      </c>
      <c r="V18" t="inlineStr">
        <is>
          <t>Мохамед Камара</t>
        </is>
      </c>
      <c r="W18" t="inlineStr">
        <is>
          <t>Батурина</t>
        </is>
      </c>
      <c r="X18" t="inlineStr">
        <is>
          <t>Луиз Энрике</t>
        </is>
      </c>
      <c r="Y18" t="inlineStr">
        <is>
          <t>Рульи</t>
        </is>
      </c>
      <c r="Z18" t="inlineStr">
        <is>
          <t>Лофтус-Чик</t>
        </is>
      </c>
      <c r="AA18" t="inlineStr">
        <is>
          <t>Черки</t>
        </is>
      </c>
      <c r="AB18" t="inlineStr">
        <is>
          <t>Консильи</t>
        </is>
      </c>
      <c r="AC18" t="inlineStr">
        <is>
          <t>Вахи</t>
        </is>
      </c>
      <c r="AD18" t="inlineStr">
        <is>
          <t>Са</t>
        </is>
      </c>
      <c r="AE18" t="inlineStr">
        <is>
          <t>Солдатенков</t>
        </is>
      </c>
      <c r="AF18" t="inlineStr">
        <is>
          <t>Санчес</t>
        </is>
      </c>
      <c r="AG18" t="inlineStr">
        <is>
          <t>Сориа</t>
        </is>
      </c>
      <c r="AH18" t="inlineStr">
        <is>
          <t>Райерсон</t>
        </is>
      </c>
      <c r="AI18" t="inlineStr">
        <is>
          <t>Тринкао</t>
        </is>
      </c>
      <c r="AJ18" t="inlineStr">
        <is>
          <t>Лукеба</t>
        </is>
      </c>
      <c r="AK18" t="inlineStr">
        <is>
          <t>Гьокереш</t>
        </is>
      </c>
      <c r="AL18" t="inlineStr">
        <is>
          <t>Траоре</t>
        </is>
      </c>
      <c r="AM18" t="inlineStr">
        <is>
          <t>Герхардт</t>
        </is>
      </c>
      <c r="AN18" t="inlineStr">
        <is>
          <t>Самассеку</t>
        </is>
      </c>
    </row>
    <row r="19">
      <c r="A19" t="inlineStr">
        <is>
          <t>Мухин</t>
        </is>
      </c>
      <c r="B19" t="inlineStr">
        <is>
          <t>Коваленко</t>
        </is>
      </c>
      <c r="C19" t="inlineStr">
        <is>
          <t>Агкацев</t>
        </is>
      </c>
      <c r="D19" t="inlineStr">
        <is>
          <t>Карпукас</t>
        </is>
      </c>
      <c r="E19" t="inlineStr">
        <is>
          <t>Рябчук</t>
        </is>
      </c>
      <c r="F19" t="inlineStr">
        <is>
          <t>Даса</t>
        </is>
      </c>
      <c r="G19" t="inlineStr">
        <is>
          <t>Боргес</t>
        </is>
      </c>
      <c r="H19" t="inlineStr">
        <is>
          <t>Палмер</t>
        </is>
      </c>
      <c r="I19" t="inlineStr">
        <is>
          <t>Нуньес</t>
        </is>
      </c>
      <c r="J19" t="inlineStr">
        <is>
          <t>Ришарлисон</t>
        </is>
      </c>
      <c r="K19" t="inlineStr">
        <is>
          <t>Маурис</t>
        </is>
      </c>
      <c r="L19" t="inlineStr">
        <is>
          <t>Смит Роу</t>
        </is>
      </c>
      <c r="M19" t="inlineStr">
        <is>
          <t>Вейга</t>
        </is>
      </c>
      <c r="N19" t="inlineStr">
        <is>
          <t>Бельерин</t>
        </is>
      </c>
      <c r="O19" t="inlineStr">
        <is>
          <t>Удоджи</t>
        </is>
      </c>
      <c r="P19" t="inlineStr">
        <is>
          <t>Гордон</t>
        </is>
      </c>
      <c r="Q19" t="inlineStr">
        <is>
          <t>Талиска</t>
        </is>
      </c>
      <c r="R19" t="inlineStr">
        <is>
          <t>Висса</t>
        </is>
      </c>
      <c r="S19" t="inlineStr">
        <is>
          <t>Рамирез</t>
        </is>
      </c>
      <c r="T19" t="inlineStr">
        <is>
          <t>Эрнандез</t>
        </is>
      </c>
      <c r="U19" t="inlineStr">
        <is>
          <t>Захарян</t>
        </is>
      </c>
      <c r="V19" t="inlineStr">
        <is>
          <t>Сков</t>
        </is>
      </c>
      <c r="W19" t="inlineStr">
        <is>
          <t>Сучич</t>
        </is>
      </c>
      <c r="X19" t="inlineStr">
        <is>
          <t>Миранда</t>
        </is>
      </c>
      <c r="Y19" t="inlineStr">
        <is>
          <t>Теллес</t>
        </is>
      </c>
      <c r="Z19" t="inlineStr">
        <is>
          <t>Муса</t>
        </is>
      </c>
      <c r="AA19" t="inlineStr">
        <is>
          <t>Веа</t>
        </is>
      </c>
      <c r="AB19" t="inlineStr">
        <is>
          <t>Оливера</t>
        </is>
      </c>
      <c r="AC19" t="inlineStr">
        <is>
          <t>Шевалье</t>
        </is>
      </c>
      <c r="AD19" t="inlineStr">
        <is>
          <t>Артур</t>
        </is>
      </c>
      <c r="AE19" t="inlineStr">
        <is>
          <t>Тель</t>
        </is>
      </c>
      <c r="AF19" t="inlineStr">
        <is>
          <t>Бренет</t>
        </is>
      </c>
      <c r="AG19" t="inlineStr">
        <is>
          <t>Залевски</t>
        </is>
      </c>
      <c r="AH19" t="inlineStr">
        <is>
          <t>Мейер</t>
        </is>
      </c>
      <c r="AI19" t="inlineStr">
        <is>
          <t>Косуну</t>
        </is>
      </c>
      <c r="AJ19" t="inlineStr">
        <is>
          <t>Кадыоглу</t>
        </is>
      </c>
      <c r="AK19" t="inlineStr">
        <is>
          <t>Нету</t>
        </is>
      </c>
      <c r="AL19" t="inlineStr">
        <is>
          <t>Льюис</t>
        </is>
      </c>
      <c r="AM19" t="inlineStr">
        <is>
          <t>Йенц</t>
        </is>
      </c>
      <c r="AN19" t="inlineStr">
        <is>
          <t>Жустван</t>
        </is>
      </c>
    </row>
    <row r="20">
      <c r="A20" t="inlineStr">
        <is>
          <t>Де Томас</t>
        </is>
      </c>
      <c r="B20" t="inlineStr">
        <is>
          <t>Градит</t>
        </is>
      </c>
      <c r="C20" t="inlineStr">
        <is>
          <t>Милла</t>
        </is>
      </c>
      <c r="D20" t="inlineStr">
        <is>
          <t>Капрари</t>
        </is>
      </c>
      <c r="E20" t="inlineStr">
        <is>
          <t>Фуллкруг</t>
        </is>
      </c>
      <c r="F20" t="inlineStr">
        <is>
          <t>Салемайкерс</t>
        </is>
      </c>
      <c r="G20" t="inlineStr">
        <is>
          <t>Риччи</t>
        </is>
      </c>
      <c r="H20" t="inlineStr">
        <is>
          <t>Менди</t>
        </is>
      </c>
      <c r="I20" t="inlineStr">
        <is>
          <t>Сильва</t>
        </is>
      </c>
      <c r="J20" t="inlineStr">
        <is>
          <t>Амрабат</t>
        </is>
      </c>
      <c r="K20" t="inlineStr">
        <is>
          <t>Тьяго</t>
        </is>
      </c>
      <c r="L20" t="inlineStr">
        <is>
          <t>Парти</t>
        </is>
      </c>
      <c r="M20" t="inlineStr">
        <is>
          <t>Буендиа</t>
        </is>
      </c>
      <c r="N20" t="inlineStr">
        <is>
          <t>Джеко</t>
        </is>
      </c>
      <c r="O20" t="inlineStr">
        <is>
          <t>Ло Чельсо</t>
        </is>
      </c>
      <c r="P20" t="inlineStr">
        <is>
          <t>Ачерби</t>
        </is>
      </c>
      <c r="Q20" t="inlineStr">
        <is>
          <t>Камавинга</t>
        </is>
      </c>
      <c r="R20" t="inlineStr">
        <is>
          <t>Алексис Санчес</t>
        </is>
      </c>
      <c r="S20" t="inlineStr">
        <is>
          <t>Де Поль</t>
        </is>
      </c>
      <c r="T20" t="inlineStr">
        <is>
          <t>Бробби</t>
        </is>
      </c>
      <c r="U20" t="inlineStr">
        <is>
          <t>Зубельдиа</t>
        </is>
      </c>
      <c r="V20" t="inlineStr">
        <is>
          <t>Джордан</t>
        </is>
      </c>
      <c r="W20" t="inlineStr">
        <is>
          <t>Адли</t>
        </is>
      </c>
      <c r="X20" t="inlineStr">
        <is>
          <t>Черны</t>
        </is>
      </c>
      <c r="Y20" t="inlineStr">
        <is>
          <t>Дармиан</t>
        </is>
      </c>
      <c r="Z20" t="inlineStr">
        <is>
          <t>Кьяер</t>
        </is>
      </c>
      <c r="AA20" t="inlineStr">
        <is>
          <t>Локателли</t>
        </is>
      </c>
      <c r="AB20" t="inlineStr">
        <is>
          <t>Санчо</t>
        </is>
      </c>
      <c r="AC20" t="inlineStr">
        <is>
          <t>Хендерсон</t>
        </is>
      </c>
      <c r="AD20" t="inlineStr">
        <is>
          <t>Алдервейрельд</t>
        </is>
      </c>
      <c r="AE20" t="inlineStr">
        <is>
          <t>Альберто</t>
        </is>
      </c>
      <c r="AF20" t="inlineStr">
        <is>
          <t>Отаменди</t>
        </is>
      </c>
      <c r="AG20" t="inlineStr">
        <is>
          <t>Айду</t>
        </is>
      </c>
      <c r="AH20" t="inlineStr">
        <is>
          <t>Аллер</t>
        </is>
      </c>
      <c r="AI20" t="inlineStr">
        <is>
          <t>Барроу</t>
        </is>
      </c>
      <c r="AJ20" t="inlineStr">
        <is>
          <t>Аурснес</t>
        </is>
      </c>
      <c r="AK20" t="inlineStr">
        <is>
          <t>Скхири</t>
        </is>
      </c>
      <c r="AL20" t="inlineStr">
        <is>
          <t>Троссар</t>
        </is>
      </c>
      <c r="AM20" t="inlineStr">
        <is>
          <t>Фирмино</t>
        </is>
      </c>
      <c r="AN20" t="inlineStr">
        <is>
          <t>Генри Мартин</t>
        </is>
      </c>
    </row>
    <row r="21">
      <c r="A21" t="inlineStr">
        <is>
          <t>Кайо Энрике</t>
        </is>
      </c>
      <c r="B21" t="inlineStr">
        <is>
          <t>Паласиос</t>
        </is>
      </c>
      <c r="C21" t="inlineStr">
        <is>
          <t>Тимбер</t>
        </is>
      </c>
      <c r="D21" t="inlineStr">
        <is>
          <t>Минамино</t>
        </is>
      </c>
      <c r="E21" t="inlineStr">
        <is>
          <t>Эдвардс</t>
        </is>
      </c>
      <c r="F21" t="inlineStr">
        <is>
          <t>Бальбуэна</t>
        </is>
      </c>
      <c r="G21" t="inlineStr">
        <is>
          <t>Эдуард</t>
        </is>
      </c>
      <c r="H21" t="inlineStr">
        <is>
          <t>Гуе</t>
        </is>
      </c>
      <c r="I21" t="inlineStr">
        <is>
          <t>Ортега</t>
        </is>
      </c>
      <c r="J21" t="inlineStr">
        <is>
          <t>Мартинелли</t>
        </is>
      </c>
      <c r="K21" t="inlineStr">
        <is>
          <t>Мюллер</t>
        </is>
      </c>
      <c r="L21" t="inlineStr">
        <is>
          <t>Зинченко</t>
        </is>
      </c>
      <c r="M21" t="inlineStr">
        <is>
          <t>Гирасси</t>
        </is>
      </c>
      <c r="N21" t="inlineStr">
        <is>
          <t>Даньума</t>
        </is>
      </c>
      <c r="O21" t="inlineStr">
        <is>
          <t>Роял</t>
        </is>
      </c>
      <c r="P21" t="inlineStr">
        <is>
          <t>Уилсон</t>
        </is>
      </c>
      <c r="Q21" t="inlineStr">
        <is>
          <t>Милитао</t>
        </is>
      </c>
      <c r="R21" t="inlineStr">
        <is>
          <t>Роберто</t>
        </is>
      </c>
      <c r="S21" t="inlineStr">
        <is>
          <t>Сауль</t>
        </is>
      </c>
      <c r="T21" t="inlineStr">
        <is>
          <t>Де Маркос</t>
        </is>
      </c>
      <c r="U21" t="inlineStr">
        <is>
          <t>Хорта</t>
        </is>
      </c>
      <c r="V21" t="inlineStr">
        <is>
          <t>Ламела</t>
        </is>
      </c>
      <c r="W21" t="inlineStr">
        <is>
          <t>Гутиеррез</t>
        </is>
      </c>
      <c r="X21" t="inlineStr">
        <is>
          <t>Бартра</t>
        </is>
      </c>
      <c r="Y21" t="inlineStr">
        <is>
          <t>Аудеро</t>
        </is>
      </c>
      <c r="Z21" t="inlineStr">
        <is>
          <t>Вейналдум</t>
        </is>
      </c>
      <c r="AA21" t="inlineStr">
        <is>
          <t>Перин</t>
        </is>
      </c>
      <c r="AB21" t="inlineStr">
        <is>
          <t>Распадори</t>
        </is>
      </c>
      <c r="AC21" t="inlineStr">
        <is>
          <t>Де Кетеларе</t>
        </is>
      </c>
      <c r="AD21" t="inlineStr">
        <is>
          <t>Барак</t>
        </is>
      </c>
      <c r="AE21" t="inlineStr">
        <is>
          <t>Кастелланос</t>
        </is>
      </c>
      <c r="AF21" t="inlineStr">
        <is>
          <t>Паредес</t>
        </is>
      </c>
      <c r="AG21" t="inlineStr">
        <is>
          <t>Грохе</t>
        </is>
      </c>
      <c r="AH21" t="inlineStr">
        <is>
          <t>Брандт</t>
        </is>
      </c>
      <c r="AI21" t="inlineStr">
        <is>
          <t>Конан</t>
        </is>
      </c>
      <c r="AJ21" t="inlineStr">
        <is>
          <t>Форсберг</t>
        </is>
      </c>
      <c r="AK21" t="inlineStr">
        <is>
          <t>Сент-Максимен</t>
        </is>
      </c>
      <c r="AL21" t="inlineStr">
        <is>
          <t>Вёбер</t>
        </is>
      </c>
      <c r="AM21" t="inlineStr">
        <is>
          <t>Ливай Гарсия</t>
        </is>
      </c>
      <c r="AN21" t="inlineStr">
        <is>
          <t>Гриллич</t>
        </is>
      </c>
    </row>
    <row r="22">
      <c r="A22" t="inlineStr">
        <is>
          <t>Витинья</t>
        </is>
      </c>
      <c r="B22" t="inlineStr">
        <is>
          <t>Еракович</t>
        </is>
      </c>
      <c r="C22" t="inlineStr">
        <is>
          <t>Черников</t>
        </is>
      </c>
      <c r="D22" t="inlineStr">
        <is>
          <t>Глушенков</t>
        </is>
      </c>
      <c r="E22" t="inlineStr">
        <is>
          <t>Нандез</t>
        </is>
      </c>
      <c r="F22" t="inlineStr">
        <is>
          <t>Грулёв</t>
        </is>
      </c>
      <c r="G22" t="inlineStr">
        <is>
          <t>Евгеньев</t>
        </is>
      </c>
      <c r="H22" t="inlineStr">
        <is>
          <t>Мунетси</t>
        </is>
      </c>
      <c r="I22" t="inlineStr">
        <is>
          <t>Ванакен</t>
        </is>
      </c>
      <c r="J22" t="inlineStr">
        <is>
          <t>Брентвейт</t>
        </is>
      </c>
      <c r="K22" t="inlineStr">
        <is>
          <t>Матип</t>
        </is>
      </c>
      <c r="L22" t="inlineStr">
        <is>
          <t>Уайт</t>
        </is>
      </c>
      <c r="M22" t="inlineStr">
        <is>
          <t>Динь</t>
        </is>
      </c>
      <c r="N22" t="inlineStr">
        <is>
          <t>Кукурелья</t>
        </is>
      </c>
      <c r="O22" t="inlineStr">
        <is>
          <t>Сарабиа</t>
        </is>
      </c>
      <c r="P22" t="inlineStr">
        <is>
          <t>Бёрн</t>
        </is>
      </c>
      <c r="Q22" t="inlineStr">
        <is>
          <t>Рюдигер</t>
        </is>
      </c>
      <c r="R22" t="inlineStr">
        <is>
          <t>Уннерсталь</t>
        </is>
      </c>
      <c r="S22" t="inlineStr">
        <is>
          <t>Адамс</t>
        </is>
      </c>
      <c r="T22" t="inlineStr">
        <is>
          <t>Галаррета</t>
        </is>
      </c>
      <c r="U22" t="inlineStr">
        <is>
          <t>Десподов</t>
        </is>
      </c>
      <c r="V22" t="inlineStr">
        <is>
          <t>Ракитич</t>
        </is>
      </c>
      <c r="W22" t="inlineStr">
        <is>
          <t>Порту</t>
        </is>
      </c>
      <c r="X22" t="inlineStr">
        <is>
          <t>Скамака</t>
        </is>
      </c>
      <c r="Y22" t="inlineStr">
        <is>
          <t>Дест</t>
        </is>
      </c>
      <c r="Z22" t="inlineStr">
        <is>
          <t>Окафор</t>
        </is>
      </c>
      <c r="AA22" t="inlineStr">
        <is>
          <t>Кеан</t>
        </is>
      </c>
      <c r="AB22" t="inlineStr">
        <is>
          <t>Круз</t>
        </is>
      </c>
      <c r="AC22" t="inlineStr">
        <is>
          <t>Джало</t>
        </is>
      </c>
      <c r="AD22" t="inlineStr">
        <is>
          <t>Бонавентура</t>
        </is>
      </c>
      <c r="AE22" t="inlineStr">
        <is>
          <t>Дансо</t>
        </is>
      </c>
      <c r="AF22" t="inlineStr">
        <is>
          <t>Шаиби</t>
        </is>
      </c>
      <c r="AG22" t="inlineStr">
        <is>
          <t>Ди Григорио</t>
        </is>
      </c>
      <c r="AH22" t="inlineStr">
        <is>
          <t>Влаходимос</t>
        </is>
      </c>
      <c r="AI22" t="inlineStr">
        <is>
          <t>Кухта</t>
        </is>
      </c>
      <c r="AJ22" t="inlineStr">
        <is>
          <t>Биссума</t>
        </is>
      </c>
      <c r="AK22" t="inlineStr">
        <is>
          <t>Бута</t>
        </is>
      </c>
      <c r="AL22" t="inlineStr">
        <is>
          <t>Лайнер</t>
        </is>
      </c>
      <c r="AM22" t="inlineStr">
        <is>
          <t>Пош</t>
        </is>
      </c>
      <c r="AN22" t="inlineStr">
        <is>
          <t>Рейна</t>
        </is>
      </c>
    </row>
    <row r="23">
      <c r="A23" t="inlineStr">
        <is>
          <t>Мудрык</t>
        </is>
      </c>
      <c r="B23" t="inlineStr">
        <is>
          <t>Ерохин</t>
        </is>
      </c>
      <c r="C23" t="inlineStr">
        <is>
          <t>Барриос</t>
        </is>
      </c>
      <c r="D23" t="inlineStr">
        <is>
          <t>Сулейманов</t>
        </is>
      </c>
      <c r="E23" t="inlineStr">
        <is>
          <t>Тезе</t>
        </is>
      </c>
      <c r="F23" t="inlineStr">
        <is>
          <t>Маричаль</t>
        </is>
      </c>
      <c r="G23" t="inlineStr">
        <is>
          <t>Ежов</t>
        </is>
      </c>
      <c r="H23" t="inlineStr">
        <is>
          <t>Лападула</t>
        </is>
      </c>
      <c r="I23" t="inlineStr">
        <is>
          <t>Филлипс</t>
        </is>
      </c>
      <c r="J23" t="inlineStr">
        <is>
          <t>Гарначо</t>
        </is>
      </c>
      <c r="K23" t="inlineStr">
        <is>
          <t>Джонс</t>
        </is>
      </c>
      <c r="L23" t="inlineStr">
        <is>
          <t>Дукуре</t>
        </is>
      </c>
      <c r="M23" t="inlineStr">
        <is>
          <t>Гехи</t>
        </is>
      </c>
      <c r="N23" t="inlineStr">
        <is>
          <t>Ланг</t>
        </is>
      </c>
      <c r="O23" t="inlineStr">
        <is>
          <t>Толои</t>
        </is>
      </c>
      <c r="P23" t="inlineStr">
        <is>
          <t>Дубравка</t>
        </is>
      </c>
      <c r="Q23" t="inlineStr">
        <is>
          <t>Менди</t>
        </is>
      </c>
      <c r="R23" t="inlineStr">
        <is>
          <t>Бард</t>
        </is>
      </c>
      <c r="S23" t="inlineStr">
        <is>
          <t>Рикельме</t>
        </is>
      </c>
      <c r="T23" t="inlineStr">
        <is>
          <t>Гурузета</t>
        </is>
      </c>
      <c r="U23" t="inlineStr">
        <is>
          <t>Барренечеа</t>
        </is>
      </c>
      <c r="V23" t="inlineStr">
        <is>
          <t>Соу</t>
        </is>
      </c>
      <c r="W23" t="inlineStr">
        <is>
          <t>Чомерт</t>
        </is>
      </c>
      <c r="X23" t="inlineStr">
        <is>
          <t>Актюркоглу</t>
        </is>
      </c>
      <c r="Y23" t="inlineStr">
        <is>
          <t>Сенси</t>
        </is>
      </c>
      <c r="Z23" t="inlineStr">
        <is>
          <t>Калулу</t>
        </is>
      </c>
      <c r="AA23" t="inlineStr">
        <is>
          <t>Смолов</t>
        </is>
      </c>
      <c r="AB23" t="inlineStr">
        <is>
          <t>Кинтеро</t>
        </is>
      </c>
      <c r="AC23" t="inlineStr">
        <is>
          <t>Купмайнерс</t>
        </is>
      </c>
      <c r="AD23" t="inlineStr">
        <is>
          <t>Булка</t>
        </is>
      </c>
      <c r="AE23" t="inlineStr">
        <is>
          <t>Исаксен</t>
        </is>
      </c>
      <c r="AF23" t="inlineStr">
        <is>
          <t>Ренч</t>
        </is>
      </c>
      <c r="AG23" t="inlineStr">
        <is>
          <t>Куеллар</t>
        </is>
      </c>
      <c r="AH23" t="inlineStr">
        <is>
          <t>Гимараеш</t>
        </is>
      </c>
      <c r="AI23" t="inlineStr">
        <is>
          <t>Обляков</t>
        </is>
      </c>
      <c r="AJ23" t="inlineStr">
        <is>
          <t>Шлагер</t>
        </is>
      </c>
      <c r="AK23" t="inlineStr">
        <is>
          <t>Мбемо</t>
        </is>
      </c>
      <c r="AL23" t="inlineStr">
        <is>
          <t>Скалли</t>
        </is>
      </c>
      <c r="AM23" t="inlineStr">
        <is>
          <t>Холс</t>
        </is>
      </c>
      <c r="AN23" t="inlineStr">
        <is>
          <t>Фогт</t>
        </is>
      </c>
    </row>
    <row r="24">
      <c r="A24" t="inlineStr">
        <is>
          <t>Хелльвен</t>
        </is>
      </c>
      <c r="B24" t="inlineStr">
        <is>
          <t>Мантуан</t>
        </is>
      </c>
      <c r="C24" t="inlineStr">
        <is>
          <t>Кайо</t>
        </is>
      </c>
      <c r="D24" t="inlineStr">
        <is>
          <t>Тикнизян</t>
        </is>
      </c>
      <c r="E24" t="inlineStr">
        <is>
          <t>Зиньковский</t>
        </is>
      </c>
      <c r="F24" t="inlineStr">
        <is>
          <t>Скопинцев</t>
        </is>
      </c>
      <c r="G24" t="inlineStr">
        <is>
          <t>Иванисеня</t>
        </is>
      </c>
      <c r="H24" t="inlineStr">
        <is>
          <t>Мамин</t>
        </is>
      </c>
      <c r="I24" t="inlineStr">
        <is>
          <t>Вандерсон</t>
        </is>
      </c>
      <c r="J24" t="inlineStr">
        <is>
          <t>Пессина</t>
        </is>
      </c>
      <c r="K24" t="inlineStr">
        <is>
          <t>Гомес</t>
        </is>
      </c>
      <c r="L24" t="inlineStr">
        <is>
          <t>Дамсгаард</t>
        </is>
      </c>
      <c r="M24" t="inlineStr">
        <is>
          <t>Заниоло</t>
        </is>
      </c>
      <c r="N24" t="inlineStr">
        <is>
          <t>Морита</t>
        </is>
      </c>
      <c r="O24" t="inlineStr">
        <is>
          <t>Билинг</t>
        </is>
      </c>
      <c r="P24" t="inlineStr">
        <is>
          <t>Лонгстаф</t>
        </is>
      </c>
      <c r="Q24" t="inlineStr">
        <is>
          <t>Юсуф Фофана</t>
        </is>
      </c>
      <c r="R24" t="inlineStr">
        <is>
          <t>Дорли</t>
        </is>
      </c>
      <c r="S24" t="inlineStr">
        <is>
          <t>Сёюнджю</t>
        </is>
      </c>
      <c r="T24" t="inlineStr">
        <is>
          <t>Лерма</t>
        </is>
      </c>
      <c r="U24" t="inlineStr">
        <is>
          <t>Муньоз</t>
        </is>
      </c>
      <c r="V24" t="inlineStr">
        <is>
          <t>Сумаре</t>
        </is>
      </c>
      <c r="W24" t="inlineStr">
        <is>
          <t>Валери</t>
        </is>
      </c>
      <c r="X24" t="inlineStr">
        <is>
          <t>Нельсон</t>
        </is>
      </c>
      <c r="Y24" t="inlineStr">
        <is>
          <t>Миша</t>
        </is>
      </c>
      <c r="Z24" t="inlineStr">
        <is>
          <t>Пинеда</t>
        </is>
      </c>
      <c r="AA24" t="inlineStr">
        <is>
          <t>Коуто</t>
        </is>
      </c>
      <c r="AB24" t="inlineStr">
        <is>
          <t>Матеус Энрике</t>
        </is>
      </c>
      <c r="AC24" t="inlineStr">
        <is>
          <t>Баккер</t>
        </is>
      </c>
      <c r="AD24" t="inlineStr">
        <is>
          <t>Малком</t>
        </is>
      </c>
      <c r="AE24" t="inlineStr">
        <is>
          <t>Пеллегрини</t>
        </is>
      </c>
      <c r="AF24" t="inlineStr">
        <is>
          <t>Тейлор</t>
        </is>
      </c>
      <c r="AG24" t="inlineStr">
        <is>
          <t>Лаймер</t>
        </is>
      </c>
      <c r="AH24" t="inlineStr">
        <is>
          <t>Нмеча</t>
        </is>
      </c>
      <c r="AI24" t="inlineStr">
        <is>
          <t>Станишич</t>
        </is>
      </c>
      <c r="AJ24" t="inlineStr">
        <is>
          <t>Изуни</t>
        </is>
      </c>
      <c r="AK24" t="inlineStr">
        <is>
          <t>Ларссон</t>
        </is>
      </c>
      <c r="AL24" t="inlineStr">
        <is>
          <t>Фридрих</t>
        </is>
      </c>
      <c r="AM24" t="inlineStr">
        <is>
          <t>Буфаль</t>
        </is>
      </c>
      <c r="AN24" t="inlineStr">
        <is>
          <t>Кабак</t>
        </is>
      </c>
    </row>
    <row r="25">
      <c r="A25" t="inlineStr">
        <is>
          <t>Файзуллаев</t>
        </is>
      </c>
      <c r="B25" t="inlineStr">
        <is>
          <t>Чистяков</t>
        </is>
      </c>
      <c r="C25" t="inlineStr">
        <is>
          <t>Олаза</t>
        </is>
      </c>
      <c r="D25" t="inlineStr">
        <is>
          <t>Самошников</t>
        </is>
      </c>
      <c r="E25" t="inlineStr">
        <is>
          <t>Хлусевич</t>
        </is>
      </c>
      <c r="F25" t="inlineStr">
        <is>
          <t>Фернандез</t>
        </is>
      </c>
      <c r="G25" t="inlineStr">
        <is>
          <t>Рассказов</t>
        </is>
      </c>
      <c r="H25" t="inlineStr">
        <is>
          <t>Газинский</t>
        </is>
      </c>
      <c r="I25" t="inlineStr">
        <is>
          <t>Брайда</t>
        </is>
      </c>
      <c r="J25" t="inlineStr">
        <is>
          <t>Диалло</t>
        </is>
      </c>
      <c r="K25" t="inlineStr">
        <is>
          <t>Браганса</t>
        </is>
      </c>
      <c r="L25" t="inlineStr">
        <is>
          <t>Кирех</t>
        </is>
      </c>
      <c r="M25" t="inlineStr">
        <is>
          <t>Ленглет</t>
        </is>
      </c>
      <c r="N25" t="inlineStr">
        <is>
          <t>Игорь</t>
        </is>
      </c>
      <c r="O25" t="inlineStr">
        <is>
          <t>Сессеньон</t>
        </is>
      </c>
      <c r="P25" t="inlineStr">
        <is>
          <t>Ливраменто</t>
        </is>
      </c>
      <c r="Q25" t="inlineStr">
        <is>
          <t>Калверт-Льюин</t>
        </is>
      </c>
      <c r="R25" t="inlineStr">
        <is>
          <t>Тавареш</t>
        </is>
      </c>
      <c r="S25" t="inlineStr">
        <is>
          <t>Альварез</t>
        </is>
      </c>
      <c r="T25" t="inlineStr">
        <is>
          <t>Шапаренко</t>
        </is>
      </c>
      <c r="U25" t="inlineStr">
        <is>
          <t>Чо</t>
        </is>
      </c>
      <c r="V25" t="inlineStr">
        <is>
          <t>Нианзу</t>
        </is>
      </c>
      <c r="W25" t="inlineStr">
        <is>
          <t>Торре</t>
        </is>
      </c>
      <c r="X25" t="inlineStr">
        <is>
          <t>Сабали</t>
        </is>
      </c>
      <c r="Y25" t="inlineStr">
        <is>
          <t>Уоткинс</t>
        </is>
      </c>
      <c r="Z25" t="inlineStr">
        <is>
          <t>Зубер</t>
        </is>
      </c>
      <c r="AA25" t="inlineStr">
        <is>
          <t>Камбиасо</t>
        </is>
      </c>
      <c r="AB25" t="inlineStr">
        <is>
          <t>Маммана</t>
        </is>
      </c>
      <c r="AC25" t="inlineStr">
        <is>
          <t>Холм</t>
        </is>
      </c>
      <c r="AD25" t="inlineStr">
        <is>
          <t>Соттил</t>
        </is>
      </c>
      <c r="AF25" t="inlineStr">
        <is>
          <t>Виктор</t>
        </is>
      </c>
      <c r="AG25" t="inlineStr">
        <is>
          <t>Мотинг</t>
        </is>
      </c>
      <c r="AH25" t="inlineStr">
        <is>
          <t>Галларно</t>
        </is>
      </c>
      <c r="AI25" t="inlineStr">
        <is>
          <t>Стиллер</t>
        </is>
      </c>
      <c r="AJ25" t="inlineStr">
        <is>
          <t>Хайдара</t>
        </is>
      </c>
      <c r="AL25" t="inlineStr">
        <is>
          <t>Себашё</t>
        </is>
      </c>
      <c r="AM25" t="inlineStr">
        <is>
          <t>Оздоев</t>
        </is>
      </c>
      <c r="AN25" t="inlineStr">
        <is>
          <t>Довбык</t>
        </is>
      </c>
    </row>
    <row r="26">
      <c r="A26" t="inlineStr">
        <is>
          <t>Агапов</t>
        </is>
      </c>
      <c r="C26" t="inlineStr">
        <is>
          <t>Кривцов</t>
        </is>
      </c>
      <c r="D26" t="inlineStr">
        <is>
          <t>Сильянов</t>
        </is>
      </c>
      <c r="F26" t="inlineStr">
        <is>
          <t>Бителло</t>
        </is>
      </c>
      <c r="G26" t="inlineStr">
        <is>
          <t>Йилдыз</t>
        </is>
      </c>
      <c r="H26" t="inlineStr">
        <is>
          <t>Юшин</t>
        </is>
      </c>
      <c r="I26" t="inlineStr">
        <is>
          <t>Одои</t>
        </is>
      </c>
      <c r="J26" t="inlineStr">
        <is>
          <t>Эрик Санчес</t>
        </is>
      </c>
      <c r="K26" t="inlineStr">
        <is>
          <t>Микаутадзе</t>
        </is>
      </c>
      <c r="L26" t="inlineStr">
        <is>
          <t>Соланко</t>
        </is>
      </c>
      <c r="M26" t="inlineStr">
        <is>
          <t>Акпом</t>
        </is>
      </c>
      <c r="N26" t="inlineStr">
        <is>
          <t>Чалоба</t>
        </is>
      </c>
      <c r="O26" t="inlineStr">
        <is>
          <t>Диуф</t>
        </is>
      </c>
      <c r="P26" t="inlineStr">
        <is>
          <t>Колпани</t>
        </is>
      </c>
      <c r="Q26" t="inlineStr">
        <is>
          <t>Поттер</t>
        </is>
      </c>
      <c r="R26" t="inlineStr">
        <is>
          <t>Огбу</t>
        </is>
      </c>
      <c r="S26" t="inlineStr">
        <is>
          <t>Фернандо</t>
        </is>
      </c>
      <c r="T26" t="inlineStr">
        <is>
          <t>Иманол</t>
        </is>
      </c>
      <c r="Y26" t="inlineStr">
        <is>
          <t>Койта</t>
        </is>
      </c>
      <c r="Z26" t="inlineStr">
        <is>
          <t>Побега</t>
        </is>
      </c>
      <c r="AD26" t="inlineStr">
        <is>
          <t>Джене</t>
        </is>
      </c>
      <c r="AF26" t="inlineStr">
        <is>
          <t>Дилросун</t>
        </is>
      </c>
      <c r="AG26" t="inlineStr">
        <is>
          <t>Давсари</t>
        </is>
      </c>
      <c r="AH26" t="inlineStr">
        <is>
          <t>Мукоко</t>
        </is>
      </c>
      <c r="AJ26" t="inlineStr">
        <is>
          <t>Блашвич</t>
        </is>
      </c>
      <c r="AM26" t="inlineStr">
        <is>
          <t>Батши</t>
        </is>
      </c>
      <c r="AN26" t="inlineStr">
        <is>
          <t>Лекуе</t>
        </is>
      </c>
    </row>
    <row r="27">
      <c r="A27" t="inlineStr">
        <is>
          <t>Ермаков</t>
        </is>
      </c>
      <c r="F27" t="inlineStr">
        <is>
          <t>Гагнидзе</t>
        </is>
      </c>
      <c r="M27" t="inlineStr">
        <is>
          <t>Траоре</t>
        </is>
      </c>
      <c r="O27" t="inlineStr">
        <is>
          <t>Семеньо</t>
        </is>
      </c>
      <c r="Z27" t="inlineStr">
        <is>
          <t>Тиау</t>
        </is>
      </c>
      <c r="AD27" t="inlineStr">
        <is>
          <t>Паризи</t>
        </is>
      </c>
      <c r="AH27" t="inlineStr">
        <is>
          <t>Шарахили</t>
        </is>
      </c>
      <c r="AJ27" t="inlineStr">
        <is>
          <t>Солет</t>
        </is>
      </c>
      <c r="AN27" t="inlineStr">
        <is>
          <t>Нсоки</t>
        </is>
      </c>
    </row>
    <row r="28">
      <c r="M28" t="inlineStr">
        <is>
          <t>Хато</t>
        </is>
      </c>
      <c r="Z28" t="inlineStr">
        <is>
          <t>Эль Ямик</t>
        </is>
      </c>
      <c r="AJ28" t="inlineStr">
        <is>
          <t>Судаков</t>
        </is>
      </c>
      <c r="AN28" t="inlineStr">
        <is>
          <t>Джон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2026-06-15T12:42:40Z</dcterms:created>
  <dcterms:modified xmlns:dcterms="http://purl.org/dc/terms/" xmlns:xsi="http://www.w3.org/2001/XMLSchema-instance" xsi:type="dcterms:W3CDTF">2026-06-15T12:42:40Z</dcterms:modified>
</cp:coreProperties>
</file>